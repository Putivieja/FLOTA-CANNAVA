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C:\Users\PC\OneDrive - CANNABIS AVATARA SE\Escritorio\"/>
    </mc:Choice>
  </mc:AlternateContent>
  <xr:revisionPtr revIDLastSave="0" documentId="8_{145FD3F8-1C49-45E9-9C52-D4C5C55C070F}" xr6:coauthVersionLast="47" xr6:coauthVersionMax="47" xr10:uidLastSave="{00000000-0000-0000-0000-000000000000}"/>
  <bookViews>
    <workbookView xWindow="0" yWindow="0" windowWidth="20490" windowHeight="7650" tabRatio="500" firstSheet="3" activeTab="3" xr2:uid="{00000000-000D-0000-FFFF-FFFF00000000}"/>
  </bookViews>
  <sheets>
    <sheet name="FLOTA" sheetId="1" r:id="rId1"/>
    <sheet name="FLOTA TERCEROS" sheetId="3" r:id="rId2"/>
    <sheet name="COMBUSTIBLE" sheetId="4" r:id="rId3"/>
    <sheet name="ESTADO DE FLOTA" sheetId="2" r:id="rId4"/>
  </sheets>
  <definedNames>
    <definedName name="_xlnm._FilterDatabase" localSheetId="2" hidden="1">COMBUSTIBLE!$A$2:$G$637</definedName>
    <definedName name="_xlnm._FilterDatabase" localSheetId="3" hidden="1">'ESTADO DE FLOTA'!$A$2:$M$104</definedName>
    <definedName name="_xlnm._FilterDatabase" localSheetId="0" hidden="1">FLOTA!$A$2:$M$11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4" i="2" l="1"/>
  <c r="B83" i="2"/>
  <c r="B82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97" i="2"/>
  <c r="I98" i="2"/>
  <c r="I99" i="2"/>
  <c r="I100" i="2"/>
  <c r="I101" i="2"/>
  <c r="I102" i="2"/>
  <c r="I103" i="2"/>
  <c r="I104" i="2"/>
  <c r="B70" i="2"/>
  <c r="B71" i="2"/>
  <c r="B72" i="2"/>
  <c r="B73" i="2"/>
  <c r="B74" i="2"/>
  <c r="B75" i="2"/>
  <c r="B76" i="2"/>
  <c r="B77" i="2"/>
  <c r="B78" i="2"/>
  <c r="B79" i="2"/>
  <c r="B80" i="2"/>
  <c r="B81" i="2"/>
  <c r="B97" i="2"/>
  <c r="B98" i="2"/>
  <c r="B99" i="2"/>
  <c r="L1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693" i="4"/>
  <c r="C694" i="4"/>
  <c r="C695" i="4"/>
  <c r="C696" i="4"/>
  <c r="C697" i="4"/>
  <c r="C698" i="4"/>
  <c r="C700" i="4"/>
  <c r="C701" i="4"/>
  <c r="C702" i="4"/>
  <c r="C703" i="4"/>
  <c r="C704" i="4"/>
  <c r="C705" i="4"/>
  <c r="C692" i="4"/>
  <c r="C691" i="4"/>
  <c r="C690" i="4"/>
  <c r="C689" i="4"/>
  <c r="C688" i="4"/>
  <c r="C687" i="4"/>
  <c r="C686" i="4"/>
  <c r="C685" i="4"/>
  <c r="B104" i="2"/>
  <c r="B103" i="2"/>
  <c r="B102" i="2"/>
  <c r="B101" i="2"/>
  <c r="B100" i="2"/>
  <c r="B69" i="2"/>
  <c r="B68" i="2"/>
  <c r="B67" i="2"/>
  <c r="B66" i="2"/>
  <c r="M4" i="2"/>
  <c r="M5" i="2"/>
  <c r="M6" i="2"/>
  <c r="M7" i="2"/>
  <c r="M8" i="2"/>
  <c r="M9" i="2"/>
  <c r="M10" i="2"/>
  <c r="M11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82" i="4"/>
  <c r="C683" i="4"/>
  <c r="C684" i="4"/>
  <c r="I3" i="2"/>
  <c r="B49" i="2"/>
  <c r="B42" i="2"/>
  <c r="B19" i="2"/>
  <c r="B18" i="2"/>
  <c r="B12" i="2"/>
  <c r="L105" i="2"/>
  <c r="K105" i="2"/>
  <c r="H105" i="2"/>
  <c r="G105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8" i="2"/>
  <c r="B47" i="2"/>
  <c r="B46" i="2"/>
  <c r="B45" i="2"/>
  <c r="M44" i="2"/>
  <c r="B44" i="2"/>
  <c r="M43" i="2"/>
  <c r="B43" i="2"/>
  <c r="M41" i="2"/>
  <c r="B41" i="2"/>
  <c r="M40" i="2"/>
  <c r="B40" i="2"/>
  <c r="M39" i="2"/>
  <c r="B39" i="2"/>
  <c r="M38" i="2"/>
  <c r="B38" i="2"/>
  <c r="M37" i="2"/>
  <c r="B37" i="2"/>
  <c r="M36" i="2"/>
  <c r="B36" i="2"/>
  <c r="M35" i="2"/>
  <c r="B35" i="2"/>
  <c r="M34" i="2"/>
  <c r="B34" i="2"/>
  <c r="M33" i="2"/>
  <c r="B33" i="2"/>
  <c r="M32" i="2"/>
  <c r="B32" i="2"/>
  <c r="M31" i="2"/>
  <c r="B31" i="2"/>
  <c r="M30" i="2"/>
  <c r="B30" i="2"/>
  <c r="M29" i="2"/>
  <c r="B29" i="2"/>
  <c r="M28" i="2"/>
  <c r="B28" i="2"/>
  <c r="M27" i="2"/>
  <c r="B27" i="2"/>
  <c r="M26" i="2"/>
  <c r="B26" i="2"/>
  <c r="M25" i="2"/>
  <c r="B25" i="2"/>
  <c r="M24" i="2"/>
  <c r="B24" i="2"/>
  <c r="M23" i="2"/>
  <c r="B23" i="2"/>
  <c r="M22" i="2"/>
  <c r="B22" i="2"/>
  <c r="M21" i="2"/>
  <c r="B21" i="2"/>
  <c r="M20" i="2"/>
  <c r="B20" i="2"/>
  <c r="M18" i="2"/>
  <c r="M17" i="2"/>
  <c r="B17" i="2"/>
  <c r="M16" i="2"/>
  <c r="B16" i="2"/>
  <c r="M15" i="2"/>
  <c r="B15" i="2"/>
  <c r="M14" i="2"/>
  <c r="B14" i="2"/>
  <c r="M13" i="2"/>
  <c r="B13" i="2"/>
  <c r="B11" i="2"/>
  <c r="B10" i="2"/>
  <c r="B9" i="2"/>
  <c r="B8" i="2"/>
  <c r="B7" i="2"/>
  <c r="B6" i="2"/>
  <c r="B5" i="2"/>
  <c r="B4" i="2"/>
  <c r="M3" i="2"/>
  <c r="M105" i="2" s="1"/>
  <c r="I105" i="2"/>
  <c r="B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tc={B386326B-6779-4B88-AAE0-7DA8E164DEFE}</author>
  </authors>
  <commentList>
    <comment ref="A12" authorId="0" shapeId="0" xr:uid="{B386326B-6779-4B88-AAE0-7DA8E164DEF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@Joel  Ricardo Huanuco Por favor completar campos vacíos.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tc={4CE1C2D7-7D07-49B0-B321-94936861C43D}</author>
    <author>tc={9C117B59-E5AD-4E9B-AB2B-3E6480295522}</author>
    <author>tc={88FD5322-928F-4192-A3EF-E5B8710368B7}</author>
    <author>tc={C6536D64-6B45-4078-9C2C-96807138E1FA}</author>
    <author>tc={3437F11C-C9C9-4FED-9872-0391C0521584}</author>
    <author>tc={6BF39F3A-CDDA-45F4-B2A8-A8E3257ABB4F}</author>
  </authors>
  <commentList>
    <comment ref="G55" authorId="0" shapeId="0" xr:uid="{4CE1C2D7-7D07-49B0-B321-94936861C43D}">
      <text>
        <t>[Threaded comment]
Your version of Excel allows you to read this threaded comment; however, any edits to it will get removed if the file is opened in a newer version of Excel. Learn more: https://go.microsoft.com/fwlink/?linkid=870924
Comment:
    KIT de filtros completos  $287.185 + 8 litros de aceite sintético $258.000</t>
      </text>
    </comment>
    <comment ref="H55" authorId="1" shapeId="0" xr:uid="{9C117B59-E5AD-4E9B-AB2B-3E648029552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56" authorId="2" shapeId="0" xr:uid="{88FD5322-928F-4192-A3EF-E5B8710368B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57" authorId="3" shapeId="0" xr:uid="{C6536D64-6B45-4078-9C2C-96807138E1F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58" authorId="4" shapeId="0" xr:uid="{3437F11C-C9C9-4FED-9872-0391C052158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59" authorId="5" shapeId="0" xr:uid="{6BF39F3A-CDDA-45F4-B2A8-A8E3257ABB4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</commentList>
</comments>
</file>

<file path=xl/sharedStrings.xml><?xml version="1.0" encoding="utf-8"?>
<sst xmlns="http://schemas.openxmlformats.org/spreadsheetml/2006/main" count="2627" uniqueCount="214">
  <si>
    <t>CANNAVA  |  TABLA MAESTRA DE FLOTA</t>
  </si>
  <si>
    <t>PATENTE</t>
  </si>
  <si>
    <t>TIPO</t>
  </si>
  <si>
    <t>MARCA</t>
  </si>
  <si>
    <t>MODELO</t>
  </si>
  <si>
    <t>AÑO</t>
  </si>
  <si>
    <t>Nº CHASIS</t>
  </si>
  <si>
    <t>Nº MOTOR</t>
  </si>
  <si>
    <t>RESPONSABLE</t>
  </si>
  <si>
    <t>ESTADO %</t>
  </si>
  <si>
    <t>REQUIERE BATERÍA</t>
  </si>
  <si>
    <t>RODADO</t>
  </si>
  <si>
    <t>CUBIERTAS A CAMBIAR</t>
  </si>
  <si>
    <t>OBSERVACIONES</t>
  </si>
  <si>
    <t>NZU 308</t>
  </si>
  <si>
    <t>CAMIONETA</t>
  </si>
  <si>
    <t>TOYOTA</t>
  </si>
  <si>
    <t>HILUX CD SRV 3.0 4X4</t>
  </si>
  <si>
    <t>8AJFZ29G5F6174551</t>
  </si>
  <si>
    <t>1KDA488133</t>
  </si>
  <si>
    <t>SIN USO</t>
  </si>
  <si>
    <t>SI</t>
  </si>
  <si>
    <t>265-65-R17</t>
  </si>
  <si>
    <t>Inutilizable. Mantenimientos urgentes/pendientes.</t>
  </si>
  <si>
    <t>OFB 802</t>
  </si>
  <si>
    <t>FORD</t>
  </si>
  <si>
    <t>RANGER 2 CD 4X4 XLS 3.2L</t>
  </si>
  <si>
    <t>8AFAR22JBFJ273114</t>
  </si>
  <si>
    <t>QW2PFJ273114</t>
  </si>
  <si>
    <t>FABIAN GONZALES</t>
  </si>
  <si>
    <t>255-70-R16</t>
  </si>
  <si>
    <t>Pedir garantía por reparaciones.</t>
  </si>
  <si>
    <t>GHQ 969</t>
  </si>
  <si>
    <t>PRADO LAND CRUISER</t>
  </si>
  <si>
    <t>JTEBY25J770054951</t>
  </si>
  <si>
    <t>1KZ1582466</t>
  </si>
  <si>
    <t>AA 757 OT</t>
  </si>
  <si>
    <t>HILUX 4X2 CD SRV 3.0</t>
  </si>
  <si>
    <t>8AJEZ39G9C2537258</t>
  </si>
  <si>
    <t>1KD5810031</t>
  </si>
  <si>
    <t>TOMAS VARGAS DURAN</t>
  </si>
  <si>
    <t>NO</t>
  </si>
  <si>
    <t>Negra.</t>
  </si>
  <si>
    <t>AC 442 VH</t>
  </si>
  <si>
    <t>VOLKSWAGEN</t>
  </si>
  <si>
    <t>AMAROK CS 2.0 140CV</t>
  </si>
  <si>
    <t>8AWSD42H2JA023873</t>
  </si>
  <si>
    <t>CNF094651</t>
  </si>
  <si>
    <t>SERENOS</t>
  </si>
  <si>
    <t>MPR 852</t>
  </si>
  <si>
    <t>AMAROK CD 2.0 4X4 180CV</t>
  </si>
  <si>
    <t>8AEDB22H7DA033757</t>
  </si>
  <si>
    <t>CNE032930</t>
  </si>
  <si>
    <t>AA 932 XX</t>
  </si>
  <si>
    <t>AMAROK DC 2.0L TDI 180CV 4X4</t>
  </si>
  <si>
    <t>8AWDB22H6HA004823</t>
  </si>
  <si>
    <t>CNE094381</t>
  </si>
  <si>
    <t>MARCELO GUASTELLA</t>
  </si>
  <si>
    <t>PKF 116</t>
  </si>
  <si>
    <t>MIDIBUS</t>
  </si>
  <si>
    <t>MERCEDES BENZ</t>
  </si>
  <si>
    <t>SPRINTER 515 CDIC</t>
  </si>
  <si>
    <t>8AC906657GE117934</t>
  </si>
  <si>
    <t>651955W0055810</t>
  </si>
  <si>
    <t>JOEL HUANUCO</t>
  </si>
  <si>
    <t>195-75-R16</t>
  </si>
  <si>
    <t>AD 755 DX</t>
  </si>
  <si>
    <t>8AC906657KE164683</t>
  </si>
  <si>
    <t>651955W0090281</t>
  </si>
  <si>
    <t>FACUNDO RUIZ</t>
  </si>
  <si>
    <t>AA 757 MH</t>
  </si>
  <si>
    <t>FIAT</t>
  </si>
  <si>
    <t>TORO</t>
  </si>
  <si>
    <t>LUCAS CALVO</t>
  </si>
  <si>
    <t>225-65-R17</t>
  </si>
  <si>
    <t>CANNAVA  |  FLOTA TERCEROS (VEHÍCULOS ALQUILADOS)</t>
  </si>
  <si>
    <t>⚠  Las celdas en amarillo están pendientes de completar  —  ESTADO ALQUILER: ACTIVO / FINALIZADO</t>
  </si>
  <si>
    <t>PROVEEDOR / EMPRESA</t>
  </si>
  <si>
    <t>RESPONSABLE CANNAVA</t>
  </si>
  <si>
    <t>ESTADO ALQUILER</t>
  </si>
  <si>
    <t>ESTADO VEHÍCULO %</t>
  </si>
  <si>
    <t>AG 164 FA</t>
  </si>
  <si>
    <t>RANGER</t>
  </si>
  <si>
    <t>→ completar</t>
  </si>
  <si>
    <t>ACTIVO</t>
  </si>
  <si>
    <t>Ranger alquilada — activa</t>
  </si>
  <si>
    <t>AG 164 FB</t>
  </si>
  <si>
    <t>JORGE ORLANDI</t>
  </si>
  <si>
    <t>FINALIZADO</t>
  </si>
  <si>
    <t>contrato finalizado</t>
  </si>
  <si>
    <t>AG 164 EZ</t>
  </si>
  <si>
    <t>GASTON CURZI</t>
  </si>
  <si>
    <t>AD 209 YG</t>
  </si>
  <si>
    <t>COMBI</t>
  </si>
  <si>
    <t>Combi alquilada — contrato finalizado</t>
  </si>
  <si>
    <t>NAS 148</t>
  </si>
  <si>
    <t>AC 777 AA</t>
  </si>
  <si>
    <t>CHEVROLET</t>
  </si>
  <si>
    <t>S10</t>
  </si>
  <si>
    <t>S10 alquilada — contrato finalizado</t>
  </si>
  <si>
    <t>CANNAVA  |  REGISTRO DE CARGA DE COMBUSTIBLE</t>
  </si>
  <si>
    <t>TOTAL COMBUSTIBLE CARGADO</t>
  </si>
  <si>
    <t>FECHA</t>
  </si>
  <si>
    <t>DOMINIO (PATENTE)</t>
  </si>
  <si>
    <t>VEHÍCULO ✦</t>
  </si>
  <si>
    <t>LITROS</t>
  </si>
  <si>
    <t>KILOMETRAJE</t>
  </si>
  <si>
    <t>N/A</t>
  </si>
  <si>
    <t>Fabián Gonzales</t>
  </si>
  <si>
    <t>NOMBRE DE RESPONSABLES</t>
  </si>
  <si>
    <t>Nicolás Flores</t>
  </si>
  <si>
    <t>Facundo Vilte</t>
  </si>
  <si>
    <t>Joel Huanuco</t>
  </si>
  <si>
    <t>Facundo Ruiz</t>
  </si>
  <si>
    <t>Gastón Curzi</t>
  </si>
  <si>
    <t>Aldo Rivera</t>
  </si>
  <si>
    <t>Jorge Orlandi</t>
  </si>
  <si>
    <t>Silvia Suarez</t>
  </si>
  <si>
    <t>José Diaz</t>
  </si>
  <si>
    <t>René Reyes</t>
  </si>
  <si>
    <t>Federico Cau Cattan</t>
  </si>
  <si>
    <t>Lucas Calvó</t>
  </si>
  <si>
    <t>Fernando Cossio</t>
  </si>
  <si>
    <t>Rolando Acha</t>
  </si>
  <si>
    <t>Javier Castillo</t>
  </si>
  <si>
    <t>Ernesto Lacsi</t>
  </si>
  <si>
    <t>Marcelo Guastella</t>
  </si>
  <si>
    <t>Jose Diaz</t>
  </si>
  <si>
    <t>Personal Seguridad y P.</t>
  </si>
  <si>
    <t>-</t>
  </si>
  <si>
    <t>FAbián Gonzales</t>
  </si>
  <si>
    <t>Personal de mantenimiento</t>
  </si>
  <si>
    <t>Personal Post Cosecha</t>
  </si>
  <si>
    <t>Transporte</t>
  </si>
  <si>
    <t>Logística y transporte</t>
  </si>
  <si>
    <t>Personal de Campo</t>
  </si>
  <si>
    <t>Transporte y Per. S.y P.</t>
  </si>
  <si>
    <t>Personal Mej. Genético</t>
  </si>
  <si>
    <t>Planificación y producción</t>
  </si>
  <si>
    <t>Dirección de producción agrícola</t>
  </si>
  <si>
    <t>Mejoramiento Genético</t>
  </si>
  <si>
    <t>Transporte de pers. Ernesto</t>
  </si>
  <si>
    <t>Gerencia</t>
  </si>
  <si>
    <t>Transporte y Logistica</t>
  </si>
  <si>
    <t>HIDROLAVADORA</t>
  </si>
  <si>
    <t>Lavado de unidades de transporte</t>
  </si>
  <si>
    <t>CANNAVA  |  ESTADO DE FLOTA Y REPARACIONES</t>
  </si>
  <si>
    <t>ESTADO</t>
  </si>
  <si>
    <t>TIPO DE REPARACIÓN</t>
  </si>
  <si>
    <t>PROVEEDOR 1</t>
  </si>
  <si>
    <t>PRESUPUESTO 1 ($)</t>
  </si>
  <si>
    <t>M.O. 1 ($)</t>
  </si>
  <si>
    <t>TOTAL 1 ($) ✦</t>
  </si>
  <si>
    <t>PROVEEDOR 2</t>
  </si>
  <si>
    <t>PRESUPUESTO 2 ($)</t>
  </si>
  <si>
    <t>M.O. 2 ($)</t>
  </si>
  <si>
    <t>TOTAL 2 ($) ✦</t>
  </si>
  <si>
    <t>OBSERVACIONES GENERALES</t>
  </si>
  <si>
    <t>✦ = Auto-completado, no editar</t>
  </si>
  <si>
    <t>PENDIENTE</t>
  </si>
  <si>
    <t>SERVICE DE MOTOR</t>
  </si>
  <si>
    <t>TREN DELANTERO COMPLETO</t>
  </si>
  <si>
    <t>AMORTIGUADORES TRASEROS</t>
  </si>
  <si>
    <t>AMORTIGUADORES DELANTEROS</t>
  </si>
  <si>
    <t>SERVICE DE FRENOS DELANTEROS</t>
  </si>
  <si>
    <t>SERVICE DE FRENOS TRASEROS</t>
  </si>
  <si>
    <t>SERVICE DE FRENO DE MANO</t>
  </si>
  <si>
    <t>REPARACION DE PARAGOLPE  DELANTERO</t>
  </si>
  <si>
    <t>REPARACION DE OPTICAS DELANTERAS</t>
  </si>
  <si>
    <t>CAMBIO DE ESCOBILLAS</t>
  </si>
  <si>
    <t>JUNTA DE HOMOCINETICA</t>
  </si>
  <si>
    <t>HECHO</t>
  </si>
  <si>
    <t>LAMPARAS PRINCIPALES QUEMADAS</t>
  </si>
  <si>
    <t>CAMBIO DE PARABRISA DELANTERO</t>
  </si>
  <si>
    <t>REPARACION COMPLETA DE SISTEMA A/C</t>
  </si>
  <si>
    <t>FUGA POR CONEXIÓN</t>
  </si>
  <si>
    <t>GATO HIDRAULICO</t>
  </si>
  <si>
    <t>TREN TRASERO COMPLETO</t>
  </si>
  <si>
    <t>LLAVE DE AUXILIO</t>
  </si>
  <si>
    <t>SENSOR DE RECIPIENTE DE LIQUIDO REFRIGERANTE</t>
  </si>
  <si>
    <t>PARILLA FRONTAL</t>
  </si>
  <si>
    <t>PARAGOLPE DELANTERO</t>
  </si>
  <si>
    <t>CAMBIO DE OPTICAS DELANTERAS</t>
  </si>
  <si>
    <t>CORREA POLI V KIT COMPLETO CON TENSOR</t>
  </si>
  <si>
    <t>REPARACION COMPLETA DE MOTOR</t>
  </si>
  <si>
    <t>PARABRISA DELANTERO</t>
  </si>
  <si>
    <t>RODAMIENTOS DE RUEDAS DELANTERAS</t>
  </si>
  <si>
    <t>RODAMIENTO DELANTERO DERECHO</t>
  </si>
  <si>
    <t>FALLA EN MOTOR POR VALVULAS</t>
  </si>
  <si>
    <t>JiSPORT</t>
  </si>
  <si>
    <t>REPARACION DE BUJES DE DIRECCION</t>
  </si>
  <si>
    <t>SERVICE/REPARACION DE ARRANQUE</t>
  </si>
  <si>
    <t>COPIA DE LLAVE</t>
  </si>
  <si>
    <t>LLANTA DE AUXILIO</t>
  </si>
  <si>
    <t>GATO HIDRAULICO + LLAVE PARA SUBIR Y BAJAR RUEDA</t>
  </si>
  <si>
    <t>2 FOCOS H7</t>
  </si>
  <si>
    <t>RULEMAN DELANTERO DERECHO</t>
  </si>
  <si>
    <t>SENSORES DE RUEDA DELANTERA</t>
  </si>
  <si>
    <t>VÁLVULA REGULADORA DE PRESION</t>
  </si>
  <si>
    <t>VÁLVULA REGULADORA DE CAUDAL</t>
  </si>
  <si>
    <t>SENSOR DE PRESION</t>
  </si>
  <si>
    <t>KIT DE FILTROS COMPLETOS</t>
  </si>
  <si>
    <t>8 Lt ACEITE SINTÉTICO</t>
  </si>
  <si>
    <t>MANO DE OBRA GENERAL</t>
  </si>
  <si>
    <t>EN PROCESO</t>
  </si>
  <si>
    <t>CONJUNTO CENTRAL TURBO</t>
  </si>
  <si>
    <t>KIT JUNTAS DESCARBONIZANTE Y ADMISIÓN</t>
  </si>
  <si>
    <t>KIT FILTROS COMPLETOS</t>
  </si>
  <si>
    <t>HOMOCINÉTICA IZQUIERDA Y DERECHA</t>
  </si>
  <si>
    <t>SERVI Y REPARACION DE MOTOR DE ARRANQUE</t>
  </si>
  <si>
    <t>REPARACION DE ALTERNADOR</t>
  </si>
  <si>
    <t>REPARCION DEL ALTERNADOR</t>
  </si>
  <si>
    <t xml:space="preserve">JiSPORT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</si>
  <si>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TOTALES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</si>
</sst>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-"/>
    <numFmt numFmtId="165" formatCode="#,##0.0"/>
    <numFmt numFmtId="166" formatCode="_-* #,##0_-;\-* #,##0_-;_-* &quot;-&quot;??_-;_-@_-"/>
  </numFmts>
  <fonts count="2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2D9E3F"/>
      <name val="Courier New"/>
      <charset val="1"/>
    </font>
    <font>
      <sz val="10"/>
      <color rgb="FF1A1A1A"/>
      <name val="Arial"/>
      <charset val="1"/>
    </font>
    <font>
      <b/>
      <sz val="10"/>
      <color rgb="FF721C24"/>
      <name val="Arial"/>
      <charset val="1"/>
    </font>
    <font>
      <b/>
      <sz val="10"/>
      <color rgb="FF155724"/>
      <name val="Arial"/>
      <charset val="1"/>
    </font>
    <font>
      <b/>
      <sz val="10"/>
      <color rgb="FF856404"/>
      <name val="Arial"/>
      <charset val="1"/>
    </font>
    <font>
      <i/>
      <sz val="9"/>
      <color rgb="FF888888"/>
      <name val="Arial"/>
      <charset val="1"/>
    </font>
    <font>
      <i/>
      <sz val="10"/>
      <color rgb="FF444444"/>
      <name val="Arial"/>
      <charset val="1"/>
    </font>
    <font>
      <b/>
      <sz val="10"/>
      <color rgb="FF1A4FA0"/>
      <name val="Arial"/>
      <charset val="1"/>
    </font>
    <font>
      <b/>
      <sz val="11"/>
      <color rgb="FFFFFFFF"/>
      <name val="Arial"/>
      <charset val="1"/>
    </font>
    <font>
      <i/>
      <sz val="10"/>
      <color rgb="FF92400E"/>
      <name val="Arial"/>
      <charset val="1"/>
    </font>
    <font>
      <i/>
      <sz val="10"/>
      <color rgb="FF999999"/>
      <name val="Arial"/>
      <charset val="1"/>
    </font>
    <font>
      <sz val="10"/>
      <color rgb="FF6B7280"/>
      <name val="Arial"/>
      <charset val="1"/>
    </font>
    <font>
      <b/>
      <sz val="9"/>
      <color rgb="FFFFFFFF"/>
      <name val="Arial"/>
      <charset val="1"/>
    </font>
    <font>
      <b/>
      <sz val="20"/>
      <color rgb="FFFFFFFF"/>
      <name val="Arial"/>
      <charset val="1"/>
    </font>
    <font>
      <i/>
      <sz val="10"/>
      <color rgb="FF444444"/>
      <name val="Arial"/>
    </font>
    <font>
      <sz val="10"/>
      <color rgb="FF1A1A1A"/>
      <name val="Arial"/>
    </font>
    <font>
      <b/>
      <sz val="10"/>
      <color rgb="FF2D9E3F"/>
      <name val="Courier New"/>
    </font>
    <font>
      <sz val="10"/>
      <color rgb="FF6B728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E6B2E"/>
        <bgColor rgb="FF155724"/>
      </patternFill>
    </fill>
    <fill>
      <patternFill patternType="solid">
        <fgColor rgb="FF2D9E3F"/>
        <bgColor rgb="FF3CB043"/>
      </patternFill>
    </fill>
    <fill>
      <patternFill patternType="solid">
        <fgColor rgb="FFFFFFFF"/>
        <bgColor rgb="FFFFFEF5"/>
      </patternFill>
    </fill>
    <fill>
      <patternFill patternType="solid">
        <fgColor rgb="FFF8D7DA"/>
        <bgColor rgb="FFFFF3CD"/>
      </patternFill>
    </fill>
    <fill>
      <patternFill patternType="solid">
        <fgColor rgb="FFE8F5E9"/>
        <bgColor rgb="FFF3F4F6"/>
      </patternFill>
    </fill>
    <fill>
      <patternFill patternType="solid">
        <fgColor rgb="FFD4EDDA"/>
        <bgColor rgb="FFE8F5E9"/>
      </patternFill>
    </fill>
    <fill>
      <patternFill patternType="solid">
        <fgColor rgb="FFFFF3CD"/>
        <bgColor rgb="FFFEF3C7"/>
      </patternFill>
    </fill>
    <fill>
      <patternFill patternType="solid">
        <fgColor rgb="FFB45309"/>
        <bgColor rgb="FF92400E"/>
      </patternFill>
    </fill>
    <fill>
      <patternFill patternType="solid">
        <fgColor rgb="FFFEF3C7"/>
        <bgColor rgb="FFFFF3CD"/>
      </patternFill>
    </fill>
    <fill>
      <patternFill patternType="solid">
        <fgColor rgb="FFFFF9C4"/>
        <bgColor rgb="FFFEF3C7"/>
      </patternFill>
    </fill>
    <fill>
      <patternFill patternType="solid">
        <fgColor rgb="FFF3F4F6"/>
        <bgColor rgb="FFF3F6FC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D9E3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medium">
        <color rgb="FF2D9E3F"/>
      </bottom>
      <diagonal/>
    </border>
    <border>
      <left style="thin">
        <color rgb="FFCCCCCC"/>
      </left>
      <right style="thin">
        <color rgb="FFCCCCCC"/>
      </right>
      <top/>
      <bottom style="medium">
        <color rgb="FF2D9E3F"/>
      </bottom>
      <diagonal/>
    </border>
    <border>
      <left style="thin">
        <color rgb="FFCCCCCC"/>
      </left>
      <right/>
      <top/>
      <bottom style="medium">
        <color rgb="FF2D9E3F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left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164" fontId="11" fillId="2" borderId="10" xfId="0" applyNumberFormat="1" applyFont="1" applyFill="1" applyBorder="1" applyAlignment="1">
      <alignment horizontal="center" vertical="center" wrapText="1"/>
    </xf>
    <xf numFmtId="0" fontId="0" fillId="2" borderId="10" xfId="0" applyFill="1" applyBorder="1"/>
    <xf numFmtId="164" fontId="11" fillId="2" borderId="11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14" fontId="9" fillId="0" borderId="3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13" borderId="3" xfId="0" applyFont="1" applyFill="1" applyBorder="1" applyAlignment="1">
      <alignment horizontal="left" vertical="center" wrapTex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165" fontId="18" fillId="0" borderId="3" xfId="0" applyNumberFormat="1" applyFont="1" applyBorder="1" applyAlignment="1">
      <alignment horizontal="center" vertical="center" wrapText="1"/>
    </xf>
    <xf numFmtId="3" fontId="18" fillId="0" borderId="3" xfId="0" applyNumberFormat="1" applyFont="1" applyBorder="1" applyAlignment="1">
      <alignment horizontal="center" vertical="center" wrapText="1"/>
    </xf>
    <xf numFmtId="14" fontId="18" fillId="0" borderId="5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15" xfId="0" applyBorder="1"/>
    <xf numFmtId="0" fontId="0" fillId="0" borderId="16" xfId="0" applyBorder="1" applyAlignment="1">
      <alignment horizontal="left" vertical="center"/>
    </xf>
    <xf numFmtId="0" fontId="20" fillId="12" borderId="3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166" fontId="0" fillId="2" borderId="12" xfId="0" applyNumberFormat="1" applyFill="1" applyBorder="1" applyAlignment="1">
      <alignment horizontal="center" vertical="center" wrapText="1"/>
    </xf>
    <xf numFmtId="166" fontId="16" fillId="2" borderId="1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55724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D9E3F"/>
        <name val="Courier New"/>
        <charset val="1"/>
        <scheme val="none"/>
      </font>
      <fill>
        <patternFill patternType="solid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medium">
          <color rgb="FF2D9E3F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CB043"/>
          <bgColor rgb="FF2D9E3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/>
        <color theme="1"/>
      </font>
      <fill>
        <patternFill patternType="solid">
          <bgColor rgb="FFFFEE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rgb="FFFFFFF0"/>
          <bgColor rgb="FFFFFEF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rgb="FFFFFFF0"/>
          <bgColor rgb="FFFFFEF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3" formatCode="#,##0"/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65" formatCode="#,##0.0"/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65" formatCode="#,##0.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444444"/>
        <name val="Arial"/>
        <charset val="1"/>
        <scheme val="none"/>
      </font>
      <numFmt numFmtId="0" formatCode="General"/>
      <fill>
        <patternFill patternType="none">
          <fgColor rgb="FFF3F4F6"/>
          <bgColor rgb="FFF3F6F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444444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D9E3F"/>
        <name val="Courier New"/>
        <charset val="1"/>
        <scheme val="none"/>
      </font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D9E3F"/>
        <name val="Courier New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9" formatCode="dd/mm/yyyy"/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/>
      </border>
    </dxf>
    <dxf>
      <border outline="0">
        <top style="thin">
          <color rgb="FFCCCCCC"/>
        </top>
      </border>
    </dxf>
    <dxf>
      <border outline="0">
        <bottom style="medium">
          <color rgb="FF2D9E3F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CB043"/>
          <bgColor rgb="FF2D9E3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CD"/>
      <rgbColor rgb="FFFF00FF"/>
      <rgbColor rgb="FF00FFFF"/>
      <rgbColor rgb="FF721C24"/>
      <rgbColor rgb="FF1E6B2E"/>
      <rgbColor rgb="FF000080"/>
      <rgbColor rgb="FF856404"/>
      <rgbColor rgb="FF800080"/>
      <rgbColor rgb="FF008080"/>
      <rgbColor rgb="FFCCCCCC"/>
      <rgbColor rgb="FF888888"/>
      <rgbColor rgb="FF9999FF"/>
      <rgbColor rgb="FFB45309"/>
      <rgbColor rgb="FFFFF9C4"/>
      <rgbColor rgb="FFE8F5E9"/>
      <rgbColor rgb="FF660066"/>
      <rgbColor rgb="FFFF8080"/>
      <rgbColor rgb="FF0066CC"/>
      <rgbColor rgb="FFF3F4F6"/>
      <rgbColor rgb="FF000080"/>
      <rgbColor rgb="FFFF00FF"/>
      <rgbColor rgb="FFFFFFF0"/>
      <rgbColor rgb="FF00FFFF"/>
      <rgbColor rgb="FF800080"/>
      <rgbColor rgb="FF800000"/>
      <rgbColor rgb="FF008080"/>
      <rgbColor rgb="FF0000FF"/>
      <rgbColor rgb="FF00CCFF"/>
      <rgbColor rgb="FFE8F0FE"/>
      <rgbColor rgb="FFD4EDDA"/>
      <rgbColor rgb="FFFEF3C7"/>
      <rgbColor rgb="FFF3F6FC"/>
      <rgbColor rgb="FFFFFEF5"/>
      <rgbColor rgb="FFCC99FF"/>
      <rgbColor rgb="FFF8D7DA"/>
      <rgbColor rgb="FF3366FF"/>
      <rgbColor rgb="FF3CB043"/>
      <rgbColor rgb="FF99CC00"/>
      <rgbColor rgb="FFFFCC00"/>
      <rgbColor rgb="FFFF9900"/>
      <rgbColor rgb="FFE67E22"/>
      <rgbColor rgb="FF6B7280"/>
      <rgbColor rgb="FF999999"/>
      <rgbColor rgb="FF003366"/>
      <rgbColor rgb="FF2D9E3F"/>
      <rgbColor rgb="FF155724"/>
      <rgbColor rgb="FF1A1A1A"/>
      <rgbColor rgb="FF92400E"/>
      <rgbColor rgb="FF993366"/>
      <rgbColor rgb="FF1A4FA0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>
  <Task id="{41BD3598-7DD8-4F23-BAFD-5213C9CCEC3C}">
    <Anchor>
      <Comment id="{B386326B-6779-4B88-AAE0-7DA8E164DEFE}"/>
    </Anchor>
    <History>
      <Event time="2026-03-02T13:03:12.41" id="{5A14C216-F809-46B6-9989-661BF5DC6945}">
        <Attribution userId="S::elacsi@cannava.com.ar::fa68ab0d-380c-4a65-baa7-2e2be25c476c" userName="Ernesto Rubolino Lacsi" userProvider="AD"/>
        <Anchor>
          <Comment id="{B386326B-6779-4B88-AAE0-7DA8E164DEFE}"/>
        </Anchor>
        <Create/>
      </Event>
      <Event time="2026-03-02T13:03:12.41" id="{E6042FAE-919C-420B-BD0E-9084A6D04DFE}">
        <Attribution userId="S::elacsi@cannava.com.ar::fa68ab0d-380c-4a65-baa7-2e2be25c476c" userName="Ernesto Rubolino Lacsi" userProvider="AD"/>
        <Anchor>
          <Comment id="{B386326B-6779-4B88-AAE0-7DA8E164DEFE}"/>
        </Anchor>
        <Assign userId="S::jhuanuco@cannava.com.ar::281a79bb-7304-4814-9722-7e0725f55a41" userName="Joel  Ricardo Huanuco" userProvider="AD"/>
      </Event>
      <Event time="2026-03-02T13:03:12.41" id="{32175908-5272-41EB-B082-AFF6F5A7B36E}">
        <Attribution userId="S::elacsi@cannava.com.ar::fa68ab0d-380c-4a65-baa7-2e2be25c476c" userName="Ernesto Rubolino Lacsi" userProvider="AD"/>
        <Anchor>
          <Comment id="{B386326B-6779-4B88-AAE0-7DA8E164DEFE}"/>
        </Anchor>
        <SetTitle title="@Joel Ricardo Huanuco Por favor completar campos vacíos.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Joel  Ricardo Huanuco" id="{F89D1195-4531-44A0-9AB5-17F75F789319}" userId="jhuanuco@cannava.com.ar" providerId="PeoplePicker"/>
  <person displayName="Ernesto Rubolino Lacsi" id="{689E119A-C590-44A5-82D0-EFB88E83A248}" userId="S::elacsi@cannava.com.ar::fa68ab0d-380c-4a65-baa7-2e2be25c476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CE12A3-8E93-4B85-84EE-D713C471E3F5}" name="Tabla2" displayName="Tabla2" ref="A2:G1018" totalsRowShown="0" headerRowDxfId="27" dataDxfId="26" headerRowBorderDxfId="24" tableBorderDxfId="25" totalsRowBorderDxfId="23">
  <autoFilter ref="A2:G1018" xr:uid="{16CE12A3-8E93-4B85-84EE-D713C471E3F5}"/>
  <tableColumns count="7">
    <tableColumn id="1" xr3:uid="{8233680D-6E7B-4B6C-80B7-FE2A79363356}" name="FECHA" dataDxfId="21" totalsRowDxfId="22"/>
    <tableColumn id="2" xr3:uid="{553865CE-DC7D-4AC2-B2D6-EBFAD071D128}" name="DOMINIO (PATENTE)" dataDxfId="19" totalsRowDxfId="20"/>
    <tableColumn id="3" xr3:uid="{69F06668-CAEC-403C-9723-776B076D5D33}" name="VEHÍCULO ✦" dataDxfId="17" totalsRowDxfId="18">
      <calculatedColumnFormula>IF(B3="","",IFERROR(VLOOKUP(B3,FLOTA!$A:$D,4,0)&amp;" — "&amp;VLOOKUP(B3,FLOTA!$A:$D,3,0),IFERROR(VLOOKUP(B3,'FLOTA TERCEROS'!$A:$D,4,0)&amp;" — "&amp;VLOOKUP(B3,'FLOTA TERCEROS'!$A:$D,3,0),"⚠ No encontrado")))</calculatedColumnFormula>
    </tableColumn>
    <tableColumn id="4" xr3:uid="{73BF0CF1-DA93-4520-A842-E7A9EDC42EF5}" name="LITROS" dataDxfId="15" totalsRowDxfId="16"/>
    <tableColumn id="5" xr3:uid="{CC44FDC3-2B21-48EA-A523-8935DBC7AEA3}" name="KILOMETRAJE" dataDxfId="13" totalsRowDxfId="14"/>
    <tableColumn id="6" xr3:uid="{988CE2A7-BE09-4860-AC53-E3BED584F1E4}" name="RESPONSABLE" dataDxfId="11" totalsRowDxfId="12"/>
    <tableColumn id="7" xr3:uid="{4A706F3D-03FA-49F0-8A0C-D12ABCF86625}" name="OBSERVACIONES" dataDxfId="9" totalsRowDxfId="10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6D0754-2A76-49BC-95C0-0FC8E12D21A9}" name="Tabla1" displayName="Tabla1" ref="A2:N105" totalsRowShown="0" headerRowDxfId="5" headerRowBorderDxfId="3" tableBorderDxfId="4" totalsRowBorderDxfId="2">
  <autoFilter ref="A2:N105" xr:uid="{646D0754-2A76-49BC-95C0-0FC8E12D21A9}"/>
  <sortState xmlns:xlrd2="http://schemas.microsoft.com/office/spreadsheetml/2017/richdata2" ref="A3:N105">
    <sortCondition ref="C2:C105"/>
  </sortState>
  <tableColumns count="14">
    <tableColumn id="1" xr3:uid="{8B823C4E-7FC7-477F-8026-B319982BBA62}" name="PATENTE" dataDxfId="1"/>
    <tableColumn id="2" xr3:uid="{B9CFA3D7-28C1-4450-BDAD-E426D949BA8E}" name="VEHÍCULO ✦"/>
    <tableColumn id="3" xr3:uid="{D69EB8AE-3EFE-4A7C-AD88-A091433A8944}" name="FECHA"/>
    <tableColumn id="4" xr3:uid="{B346C2F9-3AB5-49E4-941E-630A4FF1FF63}" name="ESTADO" dataDxfId="0"/>
    <tableColumn id="5" xr3:uid="{CA6D8F4A-FB59-49B4-ACA0-3914A056E5BF}" name="TIPO DE REPARACIÓN"/>
    <tableColumn id="6" xr3:uid="{9BC32559-57C4-47E9-AADA-78A8EB3AEE81}" name="PROVEEDOR 1"/>
    <tableColumn id="7" xr3:uid="{077F547E-5AFA-4754-B1E6-5631837BDFDC}" name="PRESUPUESTO 1 ($)"/>
    <tableColumn id="8" xr3:uid="{BB6FE2C9-C7C1-42DF-9C5F-51D86F25A095}" name="M.O. 1 ($)"/>
    <tableColumn id="9" xr3:uid="{8B31F365-0A7B-4C52-A9A1-DCC1A10EB0BF}" name="TOTAL 1 ($) ✦"/>
    <tableColumn id="10" xr3:uid="{C7EDFAC2-795E-4793-8782-8D55B28AA71E}" name="PROVEEDOR 2"/>
    <tableColumn id="11" xr3:uid="{15F961C8-5CA9-4CE5-A045-726B57B653CD}" name="PRESUPUESTO 2 ($)"/>
    <tableColumn id="12" xr3:uid="{6E2CFFCB-0DA9-4BD7-973D-1EE6BB8184A2}" name="M.O. 2 ($)"/>
    <tableColumn id="13" xr3:uid="{A134B068-6A44-4F48-B73C-2078642A5AF5}" name="TOTAL 2 ($) ✦"/>
    <tableColumn id="14" xr3:uid="{7CFF9114-C990-4F9E-95B1-9A024D85B0C3}" name="OBSERVACIONES GENERALES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" dT="2026-03-02T13:03:13.14" personId="{689E119A-C590-44A5-82D0-EFB88E83A248}" id="{B386326B-6779-4B88-AAE0-7DA8E164DEFE}">
    <text>@Joel  Ricardo Huanuco Por favor completar campos vacíos.</text>
    <mentions>
      <mention mentionpersonId="{F89D1195-4531-44A0-9AB5-17F75F789319}" mentionId="{72D9DFC3-EC83-4EA7-BDDA-2CF08D7B9201}" startIndex="0" length="22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55" dT="2026-02-27T16:43:03.22" personId="{689E119A-C590-44A5-82D0-EFB88E83A248}" id="{4CE1C2D7-7D07-49B0-B321-94936861C43D}">
    <text>KIT de filtros completos  $287.185 + 8 litros de aceite sintético $258.000</text>
  </threadedComment>
  <threadedComment ref="H55" dT="2026-02-27T16:44:48.14" personId="{689E119A-C590-44A5-82D0-EFB88E83A248}" id="{9C117B59-E5AD-4E9B-AB2B-3E6480295522}">
    <text>Mano de obra total= $1.450.000, se divide proporcionalmente entre los items de reparaciones a realizar (5)= $290.000</text>
  </threadedComment>
  <threadedComment ref="H56" dT="2026-02-27T16:44:48.14" personId="{689E119A-C590-44A5-82D0-EFB88E83A248}" id="{88FD5322-928F-4192-A3EF-E5B8710368B7}">
    <text>Mano de obra total= $1.450.000, se divide proporcionalmente entre los items de reparaciones a realizar (5)= $290.000</text>
  </threadedComment>
  <threadedComment ref="H57" dT="2026-02-27T16:44:48.14" personId="{689E119A-C590-44A5-82D0-EFB88E83A248}" id="{C6536D64-6B45-4078-9C2C-96807138E1FA}">
    <text>Mano de obra total= $1.450.000, se divide proporcionalmente entre los items de reparaciones a realizar (5)= $290.000</text>
  </threadedComment>
  <threadedComment ref="H58" dT="2026-02-27T16:44:48.14" personId="{689E119A-C590-44A5-82D0-EFB88E83A248}" id="{3437F11C-C9C9-4FED-9872-0391C0521584}">
    <text>Mano de obra total= $1.450.000, se divide proporcionalmente entre los items de reparaciones a realizar (5)= $290.000</text>
  </threadedComment>
  <threadedComment ref="H59" dT="2026-02-27T16:44:48.14" personId="{689E119A-C590-44A5-82D0-EFB88E83A248}" id="{6BF39F3A-CDDA-45F4-B2A8-A8E3257ABB4F}">
    <text>Mano de obra total= $1.450.000, se divide proporcionalmente entre los items de reparaciones a realizar (5)= $290.000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CB043"/>
  </sheetPr>
  <dimension ref="A1:M12"/>
  <sheetViews>
    <sheetView showGridLines="0" zoomScaleNormal="100" workbookViewId="0">
      <pane xSplit="1" ySplit="2" topLeftCell="G3" activePane="bottomRight" state="frozen"/>
      <selection pane="bottomRight" activeCell="D16" sqref="D16"/>
      <selection pane="bottomLeft" activeCell="A3" sqref="A3"/>
      <selection pane="topRight" activeCell="B1" sqref="B1"/>
    </sheetView>
  </sheetViews>
  <sheetFormatPr defaultColWidth="8.7109375" defaultRowHeight="15"/>
  <cols>
    <col min="1" max="1" width="12" customWidth="1"/>
    <col min="2" max="2" width="13" customWidth="1"/>
    <col min="3" max="3" width="18" customWidth="1"/>
    <col min="4" max="4" width="32" customWidth="1"/>
    <col min="5" max="5" width="7" customWidth="1"/>
    <col min="6" max="6" width="22" customWidth="1"/>
    <col min="7" max="7" width="18" customWidth="1"/>
    <col min="8" max="8" width="27.85546875" customWidth="1"/>
    <col min="9" max="9" width="10" customWidth="1"/>
    <col min="10" max="11" width="14" customWidth="1"/>
    <col min="12" max="12" width="16" customWidth="1"/>
    <col min="13" max="13" width="51.28515625" customWidth="1"/>
  </cols>
  <sheetData>
    <row r="1" spans="1:13" ht="39.75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31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1.75" customHeight="1">
      <c r="A3" s="2" t="s">
        <v>14</v>
      </c>
      <c r="B3" s="3" t="s">
        <v>15</v>
      </c>
      <c r="C3" s="3" t="s">
        <v>16</v>
      </c>
      <c r="D3" s="3" t="s">
        <v>17</v>
      </c>
      <c r="E3" s="4">
        <v>2014</v>
      </c>
      <c r="F3" s="3" t="s">
        <v>18</v>
      </c>
      <c r="G3" s="3" t="s">
        <v>19</v>
      </c>
      <c r="H3" s="3" t="s">
        <v>20</v>
      </c>
      <c r="I3" s="5">
        <v>0</v>
      </c>
      <c r="J3" s="6" t="s">
        <v>21</v>
      </c>
      <c r="K3" s="4" t="s">
        <v>22</v>
      </c>
      <c r="L3" s="4">
        <v>4</v>
      </c>
      <c r="M3" s="3" t="s">
        <v>23</v>
      </c>
    </row>
    <row r="4" spans="1:13" ht="21.75" customHeight="1">
      <c r="A4" s="7" t="s">
        <v>24</v>
      </c>
      <c r="B4" s="8" t="s">
        <v>15</v>
      </c>
      <c r="C4" s="8" t="s">
        <v>25</v>
      </c>
      <c r="D4" s="8" t="s">
        <v>26</v>
      </c>
      <c r="E4" s="9">
        <v>2014</v>
      </c>
      <c r="F4" s="8" t="s">
        <v>27</v>
      </c>
      <c r="G4" s="8" t="s">
        <v>28</v>
      </c>
      <c r="H4" s="8" t="s">
        <v>29</v>
      </c>
      <c r="I4" s="10">
        <v>80</v>
      </c>
      <c r="J4" s="11" t="s">
        <v>21</v>
      </c>
      <c r="K4" s="9" t="s">
        <v>30</v>
      </c>
      <c r="L4" s="9">
        <v>2</v>
      </c>
      <c r="M4" s="8" t="s">
        <v>31</v>
      </c>
    </row>
    <row r="5" spans="1:13" ht="21.75" customHeight="1">
      <c r="A5" s="2" t="s">
        <v>32</v>
      </c>
      <c r="B5" s="3" t="s">
        <v>15</v>
      </c>
      <c r="C5" s="3" t="s">
        <v>16</v>
      </c>
      <c r="D5" s="3" t="s">
        <v>33</v>
      </c>
      <c r="E5" s="4">
        <v>2007</v>
      </c>
      <c r="F5" s="3" t="s">
        <v>34</v>
      </c>
      <c r="G5" s="3" t="s">
        <v>35</v>
      </c>
      <c r="H5" s="3" t="s">
        <v>20</v>
      </c>
      <c r="I5" s="5">
        <v>30</v>
      </c>
      <c r="J5" s="6" t="s">
        <v>21</v>
      </c>
      <c r="K5" s="4" t="s">
        <v>22</v>
      </c>
      <c r="L5" s="4">
        <v>4</v>
      </c>
      <c r="M5" s="28" t="s">
        <v>23</v>
      </c>
    </row>
    <row r="6" spans="1:13" ht="21.75" customHeight="1">
      <c r="A6" s="7" t="s">
        <v>36</v>
      </c>
      <c r="B6" s="8" t="s">
        <v>15</v>
      </c>
      <c r="C6" s="8" t="s">
        <v>16</v>
      </c>
      <c r="D6" s="8" t="s">
        <v>37</v>
      </c>
      <c r="E6" s="9">
        <v>2016</v>
      </c>
      <c r="F6" s="8" t="s">
        <v>38</v>
      </c>
      <c r="G6" s="8" t="s">
        <v>39</v>
      </c>
      <c r="H6" s="8" t="s">
        <v>40</v>
      </c>
      <c r="I6" s="12">
        <v>50</v>
      </c>
      <c r="J6" s="9" t="s">
        <v>41</v>
      </c>
      <c r="K6" s="9" t="s">
        <v>22</v>
      </c>
      <c r="L6" s="9">
        <v>0</v>
      </c>
      <c r="M6" s="8" t="s">
        <v>42</v>
      </c>
    </row>
    <row r="7" spans="1:13" ht="21.75" customHeight="1">
      <c r="A7" s="2" t="s">
        <v>43</v>
      </c>
      <c r="B7" s="3" t="s">
        <v>15</v>
      </c>
      <c r="C7" s="3" t="s">
        <v>44</v>
      </c>
      <c r="D7" s="3" t="s">
        <v>45</v>
      </c>
      <c r="E7" s="4">
        <v>2018</v>
      </c>
      <c r="F7" s="3" t="s">
        <v>46</v>
      </c>
      <c r="G7" s="3" t="s">
        <v>47</v>
      </c>
      <c r="H7" s="3" t="s">
        <v>48</v>
      </c>
      <c r="I7" s="10">
        <v>85</v>
      </c>
      <c r="J7" s="4" t="s">
        <v>41</v>
      </c>
      <c r="K7" s="4" t="s">
        <v>30</v>
      </c>
      <c r="L7" s="4">
        <v>2</v>
      </c>
      <c r="M7" s="3"/>
    </row>
    <row r="8" spans="1:13" ht="21.75" customHeight="1">
      <c r="A8" s="7" t="s">
        <v>49</v>
      </c>
      <c r="B8" s="8" t="s">
        <v>15</v>
      </c>
      <c r="C8" s="8" t="s">
        <v>44</v>
      </c>
      <c r="D8" s="8" t="s">
        <v>50</v>
      </c>
      <c r="E8" s="9">
        <v>2013</v>
      </c>
      <c r="F8" s="8" t="s">
        <v>51</v>
      </c>
      <c r="G8" s="8" t="s">
        <v>52</v>
      </c>
      <c r="H8" s="8" t="s">
        <v>20</v>
      </c>
      <c r="I8" s="5">
        <v>30</v>
      </c>
      <c r="J8" s="9" t="s">
        <v>21</v>
      </c>
      <c r="K8" s="9" t="s">
        <v>22</v>
      </c>
      <c r="L8" s="9">
        <v>2</v>
      </c>
      <c r="M8" s="8" t="s">
        <v>23</v>
      </c>
    </row>
    <row r="9" spans="1:13" ht="21.75" customHeight="1">
      <c r="A9" s="2" t="s">
        <v>53</v>
      </c>
      <c r="B9" s="3" t="s">
        <v>15</v>
      </c>
      <c r="C9" s="3" t="s">
        <v>44</v>
      </c>
      <c r="D9" s="3" t="s">
        <v>54</v>
      </c>
      <c r="E9" s="4">
        <v>2017</v>
      </c>
      <c r="F9" s="3" t="s">
        <v>55</v>
      </c>
      <c r="G9" s="3" t="s">
        <v>56</v>
      </c>
      <c r="H9" s="3" t="s">
        <v>57</v>
      </c>
      <c r="I9" s="10">
        <v>80</v>
      </c>
      <c r="J9" s="4" t="s">
        <v>41</v>
      </c>
      <c r="K9" s="4" t="s">
        <v>22</v>
      </c>
      <c r="L9" s="4">
        <v>2</v>
      </c>
      <c r="M9" s="3"/>
    </row>
    <row r="10" spans="1:13" ht="21.75" customHeight="1">
      <c r="A10" s="7" t="s">
        <v>58</v>
      </c>
      <c r="B10" s="8" t="s">
        <v>59</v>
      </c>
      <c r="C10" s="8" t="s">
        <v>60</v>
      </c>
      <c r="D10" s="8" t="s">
        <v>61</v>
      </c>
      <c r="E10" s="9">
        <v>2016</v>
      </c>
      <c r="F10" s="8" t="s">
        <v>62</v>
      </c>
      <c r="G10" s="8" t="s">
        <v>63</v>
      </c>
      <c r="H10" s="8" t="s">
        <v>64</v>
      </c>
      <c r="I10" s="10">
        <v>80</v>
      </c>
      <c r="J10" s="11" t="s">
        <v>21</v>
      </c>
      <c r="K10" s="9" t="s">
        <v>65</v>
      </c>
      <c r="L10" s="9">
        <v>0</v>
      </c>
      <c r="M10" s="8"/>
    </row>
    <row r="11" spans="1:13" ht="21.75" customHeight="1">
      <c r="A11" s="2" t="s">
        <v>66</v>
      </c>
      <c r="B11" s="3" t="s">
        <v>59</v>
      </c>
      <c r="C11" s="3" t="s">
        <v>60</v>
      </c>
      <c r="D11" s="3" t="s">
        <v>61</v>
      </c>
      <c r="E11" s="4">
        <v>2019</v>
      </c>
      <c r="F11" s="3" t="s">
        <v>67</v>
      </c>
      <c r="G11" s="3" t="s">
        <v>68</v>
      </c>
      <c r="H11" s="3" t="s">
        <v>69</v>
      </c>
      <c r="I11" s="10">
        <v>75</v>
      </c>
      <c r="J11" s="4" t="s">
        <v>41</v>
      </c>
      <c r="K11" s="4" t="s">
        <v>65</v>
      </c>
      <c r="L11" s="4">
        <v>0</v>
      </c>
      <c r="M11" s="3"/>
    </row>
    <row r="12" spans="1:13" ht="21.75" customHeight="1">
      <c r="A12" s="7" t="s">
        <v>70</v>
      </c>
      <c r="B12" s="8" t="s">
        <v>15</v>
      </c>
      <c r="C12" s="8" t="s">
        <v>71</v>
      </c>
      <c r="D12" s="8" t="s">
        <v>72</v>
      </c>
      <c r="E12" s="9">
        <v>2017</v>
      </c>
      <c r="F12" s="8"/>
      <c r="G12" s="8"/>
      <c r="H12" s="8" t="s">
        <v>73</v>
      </c>
      <c r="I12" s="5">
        <v>30</v>
      </c>
      <c r="J12" s="11" t="s">
        <v>21</v>
      </c>
      <c r="K12" s="9" t="s">
        <v>74</v>
      </c>
      <c r="L12" s="9">
        <v>2</v>
      </c>
      <c r="M12" s="8" t="s">
        <v>23</v>
      </c>
    </row>
  </sheetData>
  <autoFilter ref="A2:M12" xr:uid="{00000000-0009-0000-0000-000000000000}"/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J9"/>
  <sheetViews>
    <sheetView showGridLines="0" zoomScaleNormal="100" workbookViewId="0">
      <pane xSplit="1" ySplit="3" topLeftCell="B8" activePane="bottomRight" state="frozen"/>
      <selection pane="bottomRight" activeCell="D15" sqref="D15"/>
      <selection pane="bottomLeft" activeCell="A4" sqref="A4"/>
      <selection pane="topRight" activeCell="B1" sqref="B1"/>
    </sheetView>
  </sheetViews>
  <sheetFormatPr defaultColWidth="8.7109375" defaultRowHeight="15"/>
  <cols>
    <col min="1" max="2" width="13" customWidth="1"/>
    <col min="3" max="3" width="23.42578125" customWidth="1"/>
    <col min="4" max="4" width="22" customWidth="1"/>
    <col min="5" max="5" width="7" customWidth="1"/>
    <col min="6" max="6" width="24" customWidth="1"/>
    <col min="7" max="7" width="22" customWidth="1"/>
    <col min="8" max="9" width="14" customWidth="1"/>
    <col min="10" max="10" width="36" customWidth="1"/>
  </cols>
  <sheetData>
    <row r="1" spans="1:10" ht="39.75" customHeight="1">
      <c r="A1" s="56" t="s">
        <v>75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21.75" customHeight="1">
      <c r="A2" s="57" t="s">
        <v>76</v>
      </c>
      <c r="B2" s="57"/>
      <c r="C2" s="57"/>
      <c r="D2" s="57"/>
      <c r="E2" s="57"/>
      <c r="F2" s="57"/>
      <c r="G2" s="57"/>
      <c r="H2" s="57"/>
      <c r="I2" s="57"/>
      <c r="J2" s="57"/>
    </row>
    <row r="3" spans="1:10" ht="3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77</v>
      </c>
      <c r="G3" s="1" t="s">
        <v>78</v>
      </c>
      <c r="H3" s="1" t="s">
        <v>79</v>
      </c>
      <c r="I3" s="1" t="s">
        <v>80</v>
      </c>
      <c r="J3" s="1" t="s">
        <v>13</v>
      </c>
    </row>
    <row r="4" spans="1:10" ht="21.75" customHeight="1">
      <c r="A4" s="7" t="s">
        <v>81</v>
      </c>
      <c r="B4" s="8" t="s">
        <v>15</v>
      </c>
      <c r="C4" s="8" t="s">
        <v>25</v>
      </c>
      <c r="D4" s="8" t="s">
        <v>82</v>
      </c>
      <c r="E4" s="14" t="s">
        <v>83</v>
      </c>
      <c r="F4" s="15" t="s">
        <v>83</v>
      </c>
      <c r="G4" s="15" t="s">
        <v>83</v>
      </c>
      <c r="H4" s="10" t="s">
        <v>84</v>
      </c>
      <c r="I4" s="14" t="s">
        <v>83</v>
      </c>
      <c r="J4" s="8" t="s">
        <v>85</v>
      </c>
    </row>
    <row r="5" spans="1:10" ht="21.75" customHeight="1">
      <c r="A5" s="2" t="s">
        <v>86</v>
      </c>
      <c r="B5" s="3" t="s">
        <v>15</v>
      </c>
      <c r="C5" s="3" t="s">
        <v>25</v>
      </c>
      <c r="D5" s="3" t="s">
        <v>82</v>
      </c>
      <c r="E5" s="14" t="s">
        <v>83</v>
      </c>
      <c r="F5" s="15" t="s">
        <v>83</v>
      </c>
      <c r="G5" s="15" t="s">
        <v>87</v>
      </c>
      <c r="H5" s="52" t="s">
        <v>88</v>
      </c>
      <c r="I5" s="14" t="s">
        <v>83</v>
      </c>
      <c r="J5" s="3" t="s">
        <v>89</v>
      </c>
    </row>
    <row r="6" spans="1:10" ht="21.75" customHeight="1">
      <c r="A6" s="7" t="s">
        <v>90</v>
      </c>
      <c r="B6" s="8" t="s">
        <v>15</v>
      </c>
      <c r="C6" s="8" t="s">
        <v>25</v>
      </c>
      <c r="D6" s="8" t="s">
        <v>82</v>
      </c>
      <c r="E6" s="14" t="s">
        <v>83</v>
      </c>
      <c r="F6" s="15" t="s">
        <v>83</v>
      </c>
      <c r="G6" s="15" t="s">
        <v>91</v>
      </c>
      <c r="H6" s="10" t="s">
        <v>84</v>
      </c>
      <c r="I6" s="14" t="s">
        <v>83</v>
      </c>
      <c r="J6" s="8" t="s">
        <v>85</v>
      </c>
    </row>
    <row r="7" spans="1:10" ht="21.75" customHeight="1">
      <c r="A7" s="2" t="s">
        <v>92</v>
      </c>
      <c r="B7" s="3" t="s">
        <v>93</v>
      </c>
      <c r="C7" s="3" t="s">
        <v>60</v>
      </c>
      <c r="D7" s="15" t="s">
        <v>83</v>
      </c>
      <c r="E7" s="14" t="s">
        <v>83</v>
      </c>
      <c r="F7" s="15" t="s">
        <v>83</v>
      </c>
      <c r="G7" s="15" t="s">
        <v>83</v>
      </c>
      <c r="H7" s="16" t="s">
        <v>88</v>
      </c>
      <c r="I7" s="14" t="s">
        <v>83</v>
      </c>
      <c r="J7" s="3" t="s">
        <v>94</v>
      </c>
    </row>
    <row r="8" spans="1:10" ht="21.75" customHeight="1">
      <c r="A8" s="7" t="s">
        <v>95</v>
      </c>
      <c r="B8" s="8" t="s">
        <v>93</v>
      </c>
      <c r="C8" s="8" t="s">
        <v>60</v>
      </c>
      <c r="D8" s="15" t="s">
        <v>83</v>
      </c>
      <c r="E8" s="14" t="s">
        <v>83</v>
      </c>
      <c r="F8" s="15" t="s">
        <v>83</v>
      </c>
      <c r="G8" s="15" t="s">
        <v>83</v>
      </c>
      <c r="H8" s="16" t="s">
        <v>88</v>
      </c>
      <c r="I8" s="14" t="s">
        <v>83</v>
      </c>
      <c r="J8" s="8" t="s">
        <v>94</v>
      </c>
    </row>
    <row r="9" spans="1:10" ht="21.75" customHeight="1">
      <c r="A9" s="2" t="s">
        <v>96</v>
      </c>
      <c r="B9" s="3" t="s">
        <v>15</v>
      </c>
      <c r="C9" s="3" t="s">
        <v>97</v>
      </c>
      <c r="D9" s="3" t="s">
        <v>98</v>
      </c>
      <c r="E9" s="14" t="s">
        <v>83</v>
      </c>
      <c r="F9" s="15" t="s">
        <v>83</v>
      </c>
      <c r="G9" s="15" t="s">
        <v>83</v>
      </c>
      <c r="H9" s="16" t="s">
        <v>88</v>
      </c>
      <c r="I9" s="14" t="s">
        <v>83</v>
      </c>
      <c r="J9" s="3" t="s">
        <v>99</v>
      </c>
    </row>
  </sheetData>
  <mergeCells count="2">
    <mergeCell ref="A1:J1"/>
    <mergeCell ref="A2:J2"/>
  </mergeCells>
  <dataValidations count="1">
    <dataValidation type="list" sqref="H4:H199" xr:uid="{00000000-0002-0000-0200-000000000000}">
      <formula1>"ACTIVO,FINALIZADO"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CB043"/>
  </sheetPr>
  <dimension ref="A1:Q1048576"/>
  <sheetViews>
    <sheetView showGridLines="0" zoomScaleNormal="100" workbookViewId="0">
      <pane xSplit="2" ySplit="3" topLeftCell="C705" activePane="bottomRight" state="frozen"/>
      <selection pane="bottomRight" activeCell="E717" sqref="E717"/>
      <selection pane="bottomLeft" activeCell="A3" sqref="A3"/>
      <selection pane="topRight" activeCell="C1" sqref="C1"/>
    </sheetView>
  </sheetViews>
  <sheetFormatPr defaultColWidth="8.7109375" defaultRowHeight="15"/>
  <cols>
    <col min="1" max="1" width="14" customWidth="1"/>
    <col min="2" max="2" width="18.28515625" customWidth="1"/>
    <col min="3" max="3" width="49.85546875" customWidth="1"/>
    <col min="4" max="4" width="12" customWidth="1"/>
    <col min="5" max="5" width="16.28515625" customWidth="1"/>
    <col min="6" max="6" width="22" customWidth="1"/>
    <col min="7" max="7" width="32" customWidth="1"/>
    <col min="17" max="17" width="31.28515625" customWidth="1"/>
  </cols>
  <sheetData>
    <row r="1" spans="1:17" ht="39.75" customHeight="1">
      <c r="A1" s="54" t="s">
        <v>100</v>
      </c>
      <c r="B1" s="54"/>
      <c r="C1" s="54"/>
      <c r="D1" s="54"/>
      <c r="E1" s="54"/>
      <c r="F1" s="54"/>
      <c r="G1" s="54"/>
      <c r="I1" s="58" t="s">
        <v>101</v>
      </c>
      <c r="J1" s="59"/>
      <c r="K1" s="59"/>
      <c r="L1" s="60">
        <f>SUM(D3:D1018)</f>
        <v>44505</v>
      </c>
      <c r="M1" s="61"/>
    </row>
    <row r="2" spans="1:17" ht="31.5" customHeight="1">
      <c r="A2" s="17" t="s">
        <v>102</v>
      </c>
      <c r="B2" s="18" t="s">
        <v>103</v>
      </c>
      <c r="C2" s="18" t="s">
        <v>104</v>
      </c>
      <c r="D2" s="18" t="s">
        <v>105</v>
      </c>
      <c r="E2" s="18" t="s">
        <v>106</v>
      </c>
      <c r="F2" s="18" t="s">
        <v>8</v>
      </c>
      <c r="G2" s="19" t="s">
        <v>13</v>
      </c>
    </row>
    <row r="3" spans="1:17" ht="18" customHeight="1">
      <c r="A3" s="36">
        <v>45591</v>
      </c>
      <c r="B3" s="37" t="s">
        <v>49</v>
      </c>
      <c r="C3" s="25" t="str">
        <f>IF(B3="","",IFERROR(VLOOKUP(B3,FLOTA!$A:$D,4,0)&amp;" — "&amp;VLOOKUP(B3,FLOTA!$A:$D,3,0),IFERROR(VLOOKUP(B3,'FLOTA TERCEROS'!$A:$D,4,0)&amp;" — "&amp;VLOOKUP(B3,'FLOTA TERCEROS'!$A:$D,3,0),"⚠ No encontrado")))</f>
        <v>AMAROK CD 2.0 4X4 180CV — VOLKSWAGEN</v>
      </c>
      <c r="D3" s="38">
        <v>55</v>
      </c>
      <c r="E3" s="39" t="s">
        <v>107</v>
      </c>
      <c r="F3" s="28" t="s">
        <v>108</v>
      </c>
      <c r="G3" s="40"/>
      <c r="Q3" s="50" t="s">
        <v>109</v>
      </c>
    </row>
    <row r="4" spans="1:17" ht="18" customHeight="1">
      <c r="A4" s="36">
        <v>45591</v>
      </c>
      <c r="B4" s="37" t="s">
        <v>36</v>
      </c>
      <c r="C4" s="25" t="str">
        <f>IF(B4="","",IFERROR(VLOOKUP(B4,FLOTA!$A:$D,4,0)&amp;" — "&amp;VLOOKUP(B4,FLOTA!$A:$D,3,0),IFERROR(VLOOKUP(B4,'FLOTA TERCEROS'!$A:$D,4,0)&amp;" — "&amp;VLOOKUP(B4,'FLOTA TERCEROS'!$A:$D,3,0),"⚠ No encontrado")))</f>
        <v>HILUX 4X2 CD SRV 3.0 — TOYOTA</v>
      </c>
      <c r="D4" s="38">
        <v>30</v>
      </c>
      <c r="E4" s="39" t="s">
        <v>107</v>
      </c>
      <c r="F4" s="28" t="s">
        <v>110</v>
      </c>
      <c r="G4" s="40"/>
      <c r="Q4" s="51" t="s">
        <v>108</v>
      </c>
    </row>
    <row r="5" spans="1:17" ht="18" customHeight="1">
      <c r="A5" s="36">
        <v>45591</v>
      </c>
      <c r="B5" s="37" t="s">
        <v>92</v>
      </c>
      <c r="C5" s="25" t="str">
        <f>IF(B5="","",IFERROR(VLOOKUP(B5,FLOTA!$A:$D,4,0)&amp;" — "&amp;VLOOKUP(B5,FLOTA!$A:$D,3,0),IFERROR(VLOOKUP(B5,'FLOTA TERCEROS'!$A:$D,4,0)&amp;" — "&amp;VLOOKUP(B5,'FLOTA TERCEROS'!$A:$D,3,0),"⚠ No encontrado")))</f>
        <v>→ completar — MERCEDES BENZ</v>
      </c>
      <c r="D5" s="38">
        <v>70</v>
      </c>
      <c r="E5" s="39" t="s">
        <v>107</v>
      </c>
      <c r="F5" s="28" t="s">
        <v>111</v>
      </c>
      <c r="G5" s="40"/>
      <c r="Q5" s="49" t="s">
        <v>110</v>
      </c>
    </row>
    <row r="6" spans="1:17" ht="18" customHeight="1">
      <c r="A6" s="36">
        <v>45593</v>
      </c>
      <c r="B6" s="37" t="s">
        <v>66</v>
      </c>
      <c r="C6" s="25" t="str">
        <f>IF(B6="","",IFERROR(VLOOKUP(B6,FLOTA!$A:$D,4,0)&amp;" — "&amp;VLOOKUP(B6,FLOTA!$A:$D,3,0),IFERROR(VLOOKUP(B6,'FLOTA TERCEROS'!$A:$D,4,0)&amp;" — "&amp;VLOOKUP(B6,'FLOTA TERCEROS'!$A:$D,3,0),"⚠ No encontrado")))</f>
        <v>SPRINTER 515 CDIC — MERCEDES BENZ</v>
      </c>
      <c r="D6" s="38">
        <v>70</v>
      </c>
      <c r="E6" s="39" t="s">
        <v>107</v>
      </c>
      <c r="F6" s="28" t="s">
        <v>112</v>
      </c>
      <c r="G6" s="40"/>
      <c r="Q6" s="49" t="s">
        <v>111</v>
      </c>
    </row>
    <row r="7" spans="1:17" ht="18" customHeight="1">
      <c r="A7" s="36">
        <v>45593</v>
      </c>
      <c r="B7" s="37" t="s">
        <v>58</v>
      </c>
      <c r="C7" s="25" t="str">
        <f>IF(B7="","",IFERROR(VLOOKUP(B7,FLOTA!$A:$D,4,0)&amp;" — "&amp;VLOOKUP(B7,FLOTA!$A:$D,3,0),IFERROR(VLOOKUP(B7,'FLOTA TERCEROS'!$A:$D,4,0)&amp;" — "&amp;VLOOKUP(B7,'FLOTA TERCEROS'!$A:$D,3,0),"⚠ No encontrado")))</f>
        <v>SPRINTER 515 CDIC — MERCEDES BENZ</v>
      </c>
      <c r="D7" s="38">
        <v>75</v>
      </c>
      <c r="E7" s="39" t="s">
        <v>107</v>
      </c>
      <c r="F7" s="28" t="s">
        <v>113</v>
      </c>
      <c r="G7" s="40"/>
      <c r="Q7" s="49" t="s">
        <v>112</v>
      </c>
    </row>
    <row r="8" spans="1:17" ht="18" customHeight="1">
      <c r="A8" s="36">
        <v>45594</v>
      </c>
      <c r="B8" s="37" t="s">
        <v>81</v>
      </c>
      <c r="C8" s="25" t="str">
        <f>IF(B8="","",IFERROR(VLOOKUP(B8,FLOTA!$A:$D,4,0)&amp;" — "&amp;VLOOKUP(B8,FLOTA!$A:$D,3,0),IFERROR(VLOOKUP(B8,'FLOTA TERCEROS'!$A:$D,4,0)&amp;" — "&amp;VLOOKUP(B8,'FLOTA TERCEROS'!$A:$D,3,0),"⚠ No encontrado")))</f>
        <v>RANGER — FORD</v>
      </c>
      <c r="D8" s="38">
        <v>75</v>
      </c>
      <c r="E8" s="39" t="s">
        <v>107</v>
      </c>
      <c r="F8" s="28" t="s">
        <v>114</v>
      </c>
      <c r="G8" s="40"/>
      <c r="Q8" s="49" t="s">
        <v>113</v>
      </c>
    </row>
    <row r="9" spans="1:17" ht="18" customHeight="1">
      <c r="A9" s="36">
        <v>45595</v>
      </c>
      <c r="B9" s="37" t="s">
        <v>43</v>
      </c>
      <c r="C9" s="25" t="str">
        <f>IF(B9="","",IFERROR(VLOOKUP(B9,FLOTA!$A:$D,4,0)&amp;" — "&amp;VLOOKUP(B9,FLOTA!$A:$D,3,0),IFERROR(VLOOKUP(B9,'FLOTA TERCEROS'!$A:$D,4,0)&amp;" — "&amp;VLOOKUP(B9,'FLOTA TERCEROS'!$A:$D,3,0),"⚠ No encontrado")))</f>
        <v>AMAROK CS 2.0 140CV — VOLKSWAGEN</v>
      </c>
      <c r="D9" s="38">
        <v>60</v>
      </c>
      <c r="E9" s="39" t="s">
        <v>107</v>
      </c>
      <c r="F9" s="28" t="s">
        <v>115</v>
      </c>
      <c r="G9" s="40"/>
      <c r="Q9" s="49" t="s">
        <v>114</v>
      </c>
    </row>
    <row r="10" spans="1:17" ht="18" customHeight="1">
      <c r="A10" s="36">
        <v>45595</v>
      </c>
      <c r="B10" s="37" t="s">
        <v>86</v>
      </c>
      <c r="C10" s="25" t="str">
        <f>IF(B10="","",IFERROR(VLOOKUP(B10,FLOTA!$A:$D,4,0)&amp;" — "&amp;VLOOKUP(B10,FLOTA!$A:$D,3,0),IFERROR(VLOOKUP(B10,'FLOTA TERCEROS'!$A:$D,4,0)&amp;" — "&amp;VLOOKUP(B10,'FLOTA TERCEROS'!$A:$D,3,0),"⚠ No encontrado")))</f>
        <v>RANGER — FORD</v>
      </c>
      <c r="D10" s="38">
        <v>60</v>
      </c>
      <c r="E10" s="39" t="s">
        <v>107</v>
      </c>
      <c r="F10" s="28" t="s">
        <v>116</v>
      </c>
      <c r="G10" s="40"/>
      <c r="Q10" s="49" t="s">
        <v>115</v>
      </c>
    </row>
    <row r="11" spans="1:17" ht="18" customHeight="1">
      <c r="A11" s="36">
        <v>45596</v>
      </c>
      <c r="B11" s="46" t="s">
        <v>36</v>
      </c>
      <c r="C11" s="25" t="str">
        <f>IF(B11="","",IFERROR(VLOOKUP(B11,FLOTA!$A:$D,4,0)&amp;" — "&amp;VLOOKUP(B11,FLOTA!$A:$D,3,0),IFERROR(VLOOKUP(B11,'FLOTA TERCEROS'!$A:$D,4,0)&amp;" — "&amp;VLOOKUP(B11,'FLOTA TERCEROS'!$A:$D,3,0),"⚠ No encontrado")))</f>
        <v>HILUX 4X2 CD SRV 3.0 — TOYOTA</v>
      </c>
      <c r="D11" s="38">
        <v>50</v>
      </c>
      <c r="E11" s="39" t="s">
        <v>107</v>
      </c>
      <c r="F11" s="28" t="s">
        <v>110</v>
      </c>
      <c r="G11" s="40"/>
      <c r="Q11" s="49" t="s">
        <v>116</v>
      </c>
    </row>
    <row r="12" spans="1:17" ht="18" customHeight="1">
      <c r="A12" s="36">
        <v>45596</v>
      </c>
      <c r="B12" s="37" t="s">
        <v>66</v>
      </c>
      <c r="C12" s="25" t="str">
        <f>IF(B12="","",IFERROR(VLOOKUP(B12,FLOTA!$A:$D,4,0)&amp;" — "&amp;VLOOKUP(B12,FLOTA!$A:$D,3,0),IFERROR(VLOOKUP(B12,'FLOTA TERCEROS'!$A:$D,4,0)&amp;" — "&amp;VLOOKUP(B12,'FLOTA TERCEROS'!$A:$D,3,0),"⚠ No encontrado")))</f>
        <v>SPRINTER 515 CDIC — MERCEDES BENZ</v>
      </c>
      <c r="D12" s="38">
        <v>55</v>
      </c>
      <c r="E12" s="39" t="s">
        <v>107</v>
      </c>
      <c r="F12" s="28" t="s">
        <v>112</v>
      </c>
      <c r="G12" s="40"/>
      <c r="Q12" s="49" t="s">
        <v>117</v>
      </c>
    </row>
    <row r="13" spans="1:17" ht="18" customHeight="1">
      <c r="A13" s="36">
        <v>45596</v>
      </c>
      <c r="B13" s="37" t="s">
        <v>96</v>
      </c>
      <c r="C13" s="25" t="str">
        <f>IF(B13="","",IFERROR(VLOOKUP(B13,FLOTA!$A:$D,4,0)&amp;" — "&amp;VLOOKUP(B13,FLOTA!$A:$D,3,0),IFERROR(VLOOKUP(B13,'FLOTA TERCEROS'!$A:$D,4,0)&amp;" — "&amp;VLOOKUP(B13,'FLOTA TERCEROS'!$A:$D,3,0),"⚠ No encontrado")))</f>
        <v>S10 — CHEVROLET</v>
      </c>
      <c r="D13" s="38">
        <v>50</v>
      </c>
      <c r="E13" s="39" t="s">
        <v>107</v>
      </c>
      <c r="F13" s="28" t="s">
        <v>117</v>
      </c>
      <c r="G13" s="40"/>
      <c r="Q13" s="49" t="s">
        <v>118</v>
      </c>
    </row>
    <row r="14" spans="1:17" ht="18" customHeight="1">
      <c r="A14" s="36">
        <v>45597</v>
      </c>
      <c r="B14" s="37" t="s">
        <v>58</v>
      </c>
      <c r="C14" s="25" t="str">
        <f>IF(B14="","",IFERROR(VLOOKUP(B14,FLOTA!$A:$D,4,0)&amp;" — "&amp;VLOOKUP(B14,FLOTA!$A:$D,3,0),IFERROR(VLOOKUP(B14,'FLOTA TERCEROS'!$A:$D,4,0)&amp;" — "&amp;VLOOKUP(B14,'FLOTA TERCEROS'!$A:$D,3,0),"⚠ No encontrado")))</f>
        <v>SPRINTER 515 CDIC — MERCEDES BENZ</v>
      </c>
      <c r="D14" s="38">
        <v>60</v>
      </c>
      <c r="E14" s="39" t="s">
        <v>107</v>
      </c>
      <c r="F14" s="28" t="s">
        <v>113</v>
      </c>
      <c r="G14" s="40"/>
      <c r="Q14" s="49" t="s">
        <v>119</v>
      </c>
    </row>
    <row r="15" spans="1:17" ht="18" customHeight="1">
      <c r="A15" s="36">
        <v>45597</v>
      </c>
      <c r="B15" s="37" t="s">
        <v>92</v>
      </c>
      <c r="C15" s="25" t="str">
        <f>IF(B15="","",IFERROR(VLOOKUP(B15,FLOTA!$A:$D,4,0)&amp;" — "&amp;VLOOKUP(B15,FLOTA!$A:$D,3,0),IFERROR(VLOOKUP(B15,'FLOTA TERCEROS'!$A:$D,4,0)&amp;" — "&amp;VLOOKUP(B15,'FLOTA TERCEROS'!$A:$D,3,0),"⚠ No encontrado")))</f>
        <v>→ completar — MERCEDES BENZ</v>
      </c>
      <c r="D15" s="38">
        <v>80</v>
      </c>
      <c r="E15" s="39" t="s">
        <v>107</v>
      </c>
      <c r="F15" s="28" t="s">
        <v>111</v>
      </c>
      <c r="G15" s="40"/>
      <c r="Q15" s="49" t="s">
        <v>120</v>
      </c>
    </row>
    <row r="16" spans="1:17" ht="18" customHeight="1">
      <c r="A16" s="36">
        <v>45597</v>
      </c>
      <c r="B16" s="37" t="s">
        <v>49</v>
      </c>
      <c r="C16" s="25" t="str">
        <f>IF(B16="","",IFERROR(VLOOKUP(B16,FLOTA!$A:$D,4,0)&amp;" — "&amp;VLOOKUP(B16,FLOTA!$A:$D,3,0),IFERROR(VLOOKUP(B16,'FLOTA TERCEROS'!$A:$D,4,0)&amp;" — "&amp;VLOOKUP(B16,'FLOTA TERCEROS'!$A:$D,3,0),"⚠ No encontrado")))</f>
        <v>AMAROK CD 2.0 4X4 180CV — VOLKSWAGEN</v>
      </c>
      <c r="D16" s="38">
        <v>50</v>
      </c>
      <c r="E16" s="39" t="s">
        <v>107</v>
      </c>
      <c r="F16" s="28" t="s">
        <v>108</v>
      </c>
      <c r="G16" s="40"/>
      <c r="Q16" s="49" t="s">
        <v>121</v>
      </c>
    </row>
    <row r="17" spans="1:17" ht="18" customHeight="1">
      <c r="A17" s="36">
        <v>45601</v>
      </c>
      <c r="B17" s="37" t="s">
        <v>58</v>
      </c>
      <c r="C17" s="25" t="str">
        <f>IF(B17="","",IFERROR(VLOOKUP(B17,FLOTA!$A:$D,4,0)&amp;" — "&amp;VLOOKUP(B17,FLOTA!$A:$D,3,0),IFERROR(VLOOKUP(B17,'FLOTA TERCEROS'!$A:$D,4,0)&amp;" — "&amp;VLOOKUP(B17,'FLOTA TERCEROS'!$A:$D,3,0),"⚠ No encontrado")))</f>
        <v>SPRINTER 515 CDIC — MERCEDES BENZ</v>
      </c>
      <c r="D17" s="38">
        <v>40</v>
      </c>
      <c r="E17" s="39" t="s">
        <v>107</v>
      </c>
      <c r="F17" s="28" t="s">
        <v>113</v>
      </c>
      <c r="G17" s="40"/>
      <c r="Q17" s="49" t="s">
        <v>122</v>
      </c>
    </row>
    <row r="18" spans="1:17" ht="18" customHeight="1">
      <c r="A18" s="36">
        <v>45601</v>
      </c>
      <c r="B18" s="37" t="s">
        <v>70</v>
      </c>
      <c r="C18" s="25" t="str">
        <f>IF(B18="","",IFERROR(VLOOKUP(B18,FLOTA!$A:$D,4,0)&amp;" — "&amp;VLOOKUP(B18,FLOTA!$A:$D,3,0),IFERROR(VLOOKUP(B18,'FLOTA TERCEROS'!$A:$D,4,0)&amp;" — "&amp;VLOOKUP(B18,'FLOTA TERCEROS'!$A:$D,3,0),"⚠ No encontrado")))</f>
        <v>TORO — FIAT</v>
      </c>
      <c r="D18" s="38">
        <v>58</v>
      </c>
      <c r="E18" s="39" t="s">
        <v>107</v>
      </c>
      <c r="F18" s="28" t="s">
        <v>112</v>
      </c>
      <c r="G18" s="40"/>
      <c r="Q18" s="49" t="s">
        <v>123</v>
      </c>
    </row>
    <row r="19" spans="1:17" ht="18" customHeight="1">
      <c r="A19" s="36">
        <v>45601</v>
      </c>
      <c r="B19" s="37" t="s">
        <v>96</v>
      </c>
      <c r="C19" s="25" t="str">
        <f>IF(B19="","",IFERROR(VLOOKUP(B19,FLOTA!$A:$D,4,0)&amp;" — "&amp;VLOOKUP(B19,FLOTA!$A:$D,3,0),IFERROR(VLOOKUP(B19,'FLOTA TERCEROS'!$A:$D,4,0)&amp;" — "&amp;VLOOKUP(B19,'FLOTA TERCEROS'!$A:$D,3,0),"⚠ No encontrado")))</f>
        <v>S10 — CHEVROLET</v>
      </c>
      <c r="D19" s="38">
        <v>80</v>
      </c>
      <c r="E19" s="39" t="s">
        <v>107</v>
      </c>
      <c r="F19" s="28" t="s">
        <v>117</v>
      </c>
      <c r="G19" s="40"/>
      <c r="Q19" s="49" t="s">
        <v>124</v>
      </c>
    </row>
    <row r="20" spans="1:17" ht="18" customHeight="1">
      <c r="A20" s="36">
        <v>45601</v>
      </c>
      <c r="B20" s="37" t="s">
        <v>36</v>
      </c>
      <c r="C20" s="25" t="str">
        <f>IF(B20="","",IFERROR(VLOOKUP(B20,FLOTA!$A:$D,4,0)&amp;" — "&amp;VLOOKUP(B20,FLOTA!$A:$D,3,0),IFERROR(VLOOKUP(B20,'FLOTA TERCEROS'!$A:$D,4,0)&amp;" — "&amp;VLOOKUP(B20,'FLOTA TERCEROS'!$A:$D,3,0),"⚠ No encontrado")))</f>
        <v>HILUX 4X2 CD SRV 3.0 — TOYOTA</v>
      </c>
      <c r="D20" s="38">
        <v>70</v>
      </c>
      <c r="E20" s="39" t="s">
        <v>107</v>
      </c>
      <c r="F20" s="28" t="s">
        <v>110</v>
      </c>
      <c r="G20" s="40"/>
      <c r="Q20" s="49" t="s">
        <v>125</v>
      </c>
    </row>
    <row r="21" spans="1:17" ht="18" customHeight="1">
      <c r="A21" s="36">
        <v>45601</v>
      </c>
      <c r="B21" s="37" t="s">
        <v>86</v>
      </c>
      <c r="C21" s="25" t="str">
        <f>IF(B21="","",IFERROR(VLOOKUP(B21,FLOTA!$A:$D,4,0)&amp;" — "&amp;VLOOKUP(B21,FLOTA!$A:$D,3,0),IFERROR(VLOOKUP(B21,'FLOTA TERCEROS'!$A:$D,4,0)&amp;" — "&amp;VLOOKUP(B21,'FLOTA TERCEROS'!$A:$D,3,0),"⚠ No encontrado")))</f>
        <v>RANGER — FORD</v>
      </c>
      <c r="D21" s="38">
        <v>70</v>
      </c>
      <c r="E21" s="39" t="s">
        <v>107</v>
      </c>
      <c r="F21" s="28" t="s">
        <v>116</v>
      </c>
      <c r="G21" s="40"/>
      <c r="Q21" s="49" t="s">
        <v>126</v>
      </c>
    </row>
    <row r="22" spans="1:17" ht="18" customHeight="1">
      <c r="A22" s="36">
        <v>45601</v>
      </c>
      <c r="B22" s="37" t="s">
        <v>81</v>
      </c>
      <c r="C22" s="25" t="str">
        <f>IF(B22="","",IFERROR(VLOOKUP(B22,FLOTA!$A:$D,4,0)&amp;" — "&amp;VLOOKUP(B22,FLOTA!$A:$D,3,0),IFERROR(VLOOKUP(B22,'FLOTA TERCEROS'!$A:$D,4,0)&amp;" — "&amp;VLOOKUP(B22,'FLOTA TERCEROS'!$A:$D,3,0),"⚠ No encontrado")))</f>
        <v>RANGER — FORD</v>
      </c>
      <c r="D22" s="38">
        <v>80</v>
      </c>
      <c r="E22" s="39" t="s">
        <v>107</v>
      </c>
      <c r="F22" s="28" t="s">
        <v>114</v>
      </c>
      <c r="G22" s="40"/>
      <c r="Q22" s="49" t="s">
        <v>127</v>
      </c>
    </row>
    <row r="23" spans="1:17" ht="18" customHeight="1">
      <c r="A23" s="36">
        <v>45601</v>
      </c>
      <c r="B23" s="37" t="s">
        <v>43</v>
      </c>
      <c r="C23" s="25" t="str">
        <f>IF(B23="","",IFERROR(VLOOKUP(B23,FLOTA!$A:$D,4,0)&amp;" — "&amp;VLOOKUP(B23,FLOTA!$A:$D,3,0),IFERROR(VLOOKUP(B23,'FLOTA TERCEROS'!$A:$D,4,0)&amp;" — "&amp;VLOOKUP(B23,'FLOTA TERCEROS'!$A:$D,3,0),"⚠ No encontrado")))</f>
        <v>AMAROK CS 2.0 140CV — VOLKSWAGEN</v>
      </c>
      <c r="D23" s="38">
        <v>80</v>
      </c>
      <c r="E23" s="39" t="s">
        <v>107</v>
      </c>
      <c r="F23" s="28" t="s">
        <v>115</v>
      </c>
      <c r="G23" s="40"/>
      <c r="Q23" s="49"/>
    </row>
    <row r="24" spans="1:17" ht="18" customHeight="1">
      <c r="A24" s="36">
        <v>45605</v>
      </c>
      <c r="B24" s="37" t="s">
        <v>66</v>
      </c>
      <c r="C24" s="25" t="str">
        <f>IF(B24="","",IFERROR(VLOOKUP(B24,FLOTA!$A:$D,4,0)&amp;" — "&amp;VLOOKUP(B24,FLOTA!$A:$D,3,0),IFERROR(VLOOKUP(B24,'FLOTA TERCEROS'!$A:$D,4,0)&amp;" — "&amp;VLOOKUP(B24,'FLOTA TERCEROS'!$A:$D,3,0),"⚠ No encontrado")))</f>
        <v>SPRINTER 515 CDIC — MERCEDES BENZ</v>
      </c>
      <c r="D24" s="38">
        <v>65</v>
      </c>
      <c r="E24" s="39" t="s">
        <v>107</v>
      </c>
      <c r="F24" s="28" t="s">
        <v>112</v>
      </c>
      <c r="G24" s="40"/>
      <c r="Q24" s="49"/>
    </row>
    <row r="25" spans="1:17" ht="18" customHeight="1">
      <c r="A25" s="36">
        <v>45605</v>
      </c>
      <c r="B25" s="37" t="s">
        <v>81</v>
      </c>
      <c r="C25" s="25" t="str">
        <f>IF(B25="","",IFERROR(VLOOKUP(B25,FLOTA!$A:$D,4,0)&amp;" — "&amp;VLOOKUP(B25,FLOTA!$A:$D,3,0),IFERROR(VLOOKUP(B25,'FLOTA TERCEROS'!$A:$D,4,0)&amp;" — "&amp;VLOOKUP(B25,'FLOTA TERCEROS'!$A:$D,3,0),"⚠ No encontrado")))</f>
        <v>RANGER — FORD</v>
      </c>
      <c r="D25" s="38">
        <v>40</v>
      </c>
      <c r="E25" s="39" t="s">
        <v>107</v>
      </c>
      <c r="F25" s="28" t="s">
        <v>118</v>
      </c>
      <c r="G25" s="40"/>
      <c r="Q25" s="49"/>
    </row>
    <row r="26" spans="1:17" ht="18" customHeight="1">
      <c r="A26" s="36">
        <v>45608</v>
      </c>
      <c r="B26" s="37" t="s">
        <v>92</v>
      </c>
      <c r="C26" s="25" t="str">
        <f>IF(B26="","",IFERROR(VLOOKUP(B26,FLOTA!$A:$D,4,0)&amp;" — "&amp;VLOOKUP(B26,FLOTA!$A:$D,3,0),IFERROR(VLOOKUP(B26,'FLOTA TERCEROS'!$A:$D,4,0)&amp;" — "&amp;VLOOKUP(B26,'FLOTA TERCEROS'!$A:$D,3,0),"⚠ No encontrado")))</f>
        <v>→ completar — MERCEDES BENZ</v>
      </c>
      <c r="D26" s="38">
        <v>50</v>
      </c>
      <c r="E26" s="39" t="s">
        <v>107</v>
      </c>
      <c r="F26" s="28" t="s">
        <v>111</v>
      </c>
      <c r="G26" s="40"/>
      <c r="Q26" s="49"/>
    </row>
    <row r="27" spans="1:17" ht="18" customHeight="1">
      <c r="A27" s="36">
        <v>45608</v>
      </c>
      <c r="B27" s="37" t="s">
        <v>58</v>
      </c>
      <c r="C27" s="25" t="str">
        <f>IF(B27="","",IFERROR(VLOOKUP(B27,FLOTA!$A:$D,4,0)&amp;" — "&amp;VLOOKUP(B27,FLOTA!$A:$D,3,0),IFERROR(VLOOKUP(B27,'FLOTA TERCEROS'!$A:$D,4,0)&amp;" — "&amp;VLOOKUP(B27,'FLOTA TERCEROS'!$A:$D,3,0),"⚠ No encontrado")))</f>
        <v>SPRINTER 515 CDIC — MERCEDES BENZ</v>
      </c>
      <c r="D27" s="38">
        <v>60</v>
      </c>
      <c r="E27" s="39" t="s">
        <v>107</v>
      </c>
      <c r="F27" s="28" t="s">
        <v>113</v>
      </c>
      <c r="G27" s="40"/>
      <c r="Q27" s="49"/>
    </row>
    <row r="28" spans="1:17" ht="18" customHeight="1">
      <c r="A28" s="36">
        <v>45608</v>
      </c>
      <c r="B28" s="37" t="s">
        <v>86</v>
      </c>
      <c r="C28" s="25" t="str">
        <f>IF(B28="","",IFERROR(VLOOKUP(B28,FLOTA!$A:$D,4,0)&amp;" — "&amp;VLOOKUP(B28,FLOTA!$A:$D,3,0),IFERROR(VLOOKUP(B28,'FLOTA TERCEROS'!$A:$D,4,0)&amp;" — "&amp;VLOOKUP(B28,'FLOTA TERCEROS'!$A:$D,3,0),"⚠ No encontrado")))</f>
        <v>RANGER — FORD</v>
      </c>
      <c r="D28" s="38">
        <v>55</v>
      </c>
      <c r="E28" s="39" t="s">
        <v>107</v>
      </c>
      <c r="F28" s="28" t="s">
        <v>116</v>
      </c>
      <c r="G28" s="40"/>
    </row>
    <row r="29" spans="1:17" ht="18" customHeight="1">
      <c r="A29" s="36">
        <v>45608</v>
      </c>
      <c r="B29" s="37" t="s">
        <v>81</v>
      </c>
      <c r="C29" s="25" t="str">
        <f>IF(B29="","",IFERROR(VLOOKUP(B29,FLOTA!$A:$D,4,0)&amp;" — "&amp;VLOOKUP(B29,FLOTA!$A:$D,3,0),IFERROR(VLOOKUP(B29,'FLOTA TERCEROS'!$A:$D,4,0)&amp;" — "&amp;VLOOKUP(B29,'FLOTA TERCEROS'!$A:$D,3,0),"⚠ No encontrado")))</f>
        <v>RANGER — FORD</v>
      </c>
      <c r="D29" s="38">
        <v>50</v>
      </c>
      <c r="E29" s="39" t="s">
        <v>107</v>
      </c>
      <c r="F29" s="28" t="s">
        <v>114</v>
      </c>
      <c r="G29" s="40"/>
    </row>
    <row r="30" spans="1:17" ht="18" customHeight="1">
      <c r="A30" s="36">
        <v>45608</v>
      </c>
      <c r="B30" s="37" t="s">
        <v>43</v>
      </c>
      <c r="C30" s="25" t="str">
        <f>IF(B30="","",IFERROR(VLOOKUP(B30,FLOTA!$A:$D,4,0)&amp;" — "&amp;VLOOKUP(B30,FLOTA!$A:$D,3,0),IFERROR(VLOOKUP(B30,'FLOTA TERCEROS'!$A:$D,4,0)&amp;" — "&amp;VLOOKUP(B30,'FLOTA TERCEROS'!$A:$D,3,0),"⚠ No encontrado")))</f>
        <v>AMAROK CS 2.0 140CV — VOLKSWAGEN</v>
      </c>
      <c r="D30" s="38">
        <v>60</v>
      </c>
      <c r="E30" s="39" t="s">
        <v>107</v>
      </c>
      <c r="F30" s="28" t="s">
        <v>115</v>
      </c>
      <c r="G30" s="40"/>
    </row>
    <row r="31" spans="1:17" ht="18" customHeight="1">
      <c r="A31" s="36">
        <v>45608</v>
      </c>
      <c r="B31" s="37" t="s">
        <v>36</v>
      </c>
      <c r="C31" s="25" t="str">
        <f>IF(B31="","",IFERROR(VLOOKUP(B31,FLOTA!$A:$D,4,0)&amp;" — "&amp;VLOOKUP(B31,FLOTA!$A:$D,3,0),IFERROR(VLOOKUP(B31,'FLOTA TERCEROS'!$A:$D,4,0)&amp;" — "&amp;VLOOKUP(B31,'FLOTA TERCEROS'!$A:$D,3,0),"⚠ No encontrado")))</f>
        <v>HILUX 4X2 CD SRV 3.0 — TOYOTA</v>
      </c>
      <c r="D31" s="38">
        <v>55</v>
      </c>
      <c r="E31" s="39" t="s">
        <v>107</v>
      </c>
      <c r="F31" s="28" t="s">
        <v>110</v>
      </c>
      <c r="G31" s="40"/>
    </row>
    <row r="32" spans="1:17" ht="18" customHeight="1">
      <c r="A32" s="36">
        <v>45609</v>
      </c>
      <c r="B32" s="37" t="s">
        <v>96</v>
      </c>
      <c r="C32" s="25" t="str">
        <f>IF(B32="","",IFERROR(VLOOKUP(B32,FLOTA!$A:$D,4,0)&amp;" — "&amp;VLOOKUP(B32,FLOTA!$A:$D,3,0),IFERROR(VLOOKUP(B32,'FLOTA TERCEROS'!$A:$D,4,0)&amp;" — "&amp;VLOOKUP(B32,'FLOTA TERCEROS'!$A:$D,3,0),"⚠ No encontrado")))</f>
        <v>S10 — CHEVROLET</v>
      </c>
      <c r="D32" s="38">
        <v>60</v>
      </c>
      <c r="E32" s="39" t="s">
        <v>107</v>
      </c>
      <c r="F32" s="28" t="s">
        <v>117</v>
      </c>
      <c r="G32" s="40"/>
    </row>
    <row r="33" spans="1:7" ht="18" customHeight="1">
      <c r="A33" s="36">
        <v>45610</v>
      </c>
      <c r="B33" s="37" t="s">
        <v>66</v>
      </c>
      <c r="C33" s="25" t="str">
        <f>IF(B33="","",IFERROR(VLOOKUP(B33,FLOTA!$A:$D,4,0)&amp;" — "&amp;VLOOKUP(B33,FLOTA!$A:$D,3,0),IFERROR(VLOOKUP(B33,'FLOTA TERCEROS'!$A:$D,4,0)&amp;" — "&amp;VLOOKUP(B33,'FLOTA TERCEROS'!$A:$D,3,0),"⚠ No encontrado")))</f>
        <v>SPRINTER 515 CDIC — MERCEDES BENZ</v>
      </c>
      <c r="D33" s="38">
        <v>70</v>
      </c>
      <c r="E33" s="39" t="s">
        <v>107</v>
      </c>
      <c r="F33" s="28" t="s">
        <v>112</v>
      </c>
      <c r="G33" s="40"/>
    </row>
    <row r="34" spans="1:7" ht="18" customHeight="1">
      <c r="A34" s="36">
        <v>45611</v>
      </c>
      <c r="B34" s="37" t="s">
        <v>49</v>
      </c>
      <c r="C34" s="25" t="str">
        <f>IF(B34="","",IFERROR(VLOOKUP(B34,FLOTA!$A:$D,4,0)&amp;" — "&amp;VLOOKUP(B34,FLOTA!$A:$D,3,0),IFERROR(VLOOKUP(B34,'FLOTA TERCEROS'!$A:$D,4,0)&amp;" — "&amp;VLOOKUP(B34,'FLOTA TERCEROS'!$A:$D,3,0),"⚠ No encontrado")))</f>
        <v>AMAROK CD 2.0 4X4 180CV — VOLKSWAGEN</v>
      </c>
      <c r="D34" s="38">
        <v>75</v>
      </c>
      <c r="E34" s="39" t="s">
        <v>107</v>
      </c>
      <c r="F34" s="28" t="s">
        <v>108</v>
      </c>
      <c r="G34" s="40"/>
    </row>
    <row r="35" spans="1:7" ht="18" customHeight="1">
      <c r="A35" s="36">
        <v>45611</v>
      </c>
      <c r="B35" s="37" t="s">
        <v>92</v>
      </c>
      <c r="C35" s="25" t="str">
        <f>IF(B35="","",IFERROR(VLOOKUP(B35,FLOTA!$A:$D,4,0)&amp;" — "&amp;VLOOKUP(B35,FLOTA!$A:$D,3,0),IFERROR(VLOOKUP(B35,'FLOTA TERCEROS'!$A:$D,4,0)&amp;" — "&amp;VLOOKUP(B35,'FLOTA TERCEROS'!$A:$D,3,0),"⚠ No encontrado")))</f>
        <v>→ completar — MERCEDES BENZ</v>
      </c>
      <c r="D35" s="38">
        <v>25</v>
      </c>
      <c r="E35" s="39" t="s">
        <v>107</v>
      </c>
      <c r="F35" s="28" t="s">
        <v>111</v>
      </c>
      <c r="G35" s="40"/>
    </row>
    <row r="36" spans="1:7" ht="18" customHeight="1">
      <c r="A36" s="36">
        <v>45611</v>
      </c>
      <c r="B36" s="37" t="s">
        <v>14</v>
      </c>
      <c r="C36" s="25" t="str">
        <f>IF(B36="","",IFERROR(VLOOKUP(B36,FLOTA!$A:$D,4,0)&amp;" — "&amp;VLOOKUP(B36,FLOTA!$A:$D,3,0),IFERROR(VLOOKUP(B36,'FLOTA TERCEROS'!$A:$D,4,0)&amp;" — "&amp;VLOOKUP(B36,'FLOTA TERCEROS'!$A:$D,3,0),"⚠ No encontrado")))</f>
        <v>HILUX CD SRV 3.0 4X4 — TOYOTA</v>
      </c>
      <c r="D36" s="38">
        <v>90</v>
      </c>
      <c r="E36" s="39" t="s">
        <v>107</v>
      </c>
      <c r="F36" s="28" t="s">
        <v>112</v>
      </c>
      <c r="G36" s="40"/>
    </row>
    <row r="37" spans="1:7" ht="18" customHeight="1">
      <c r="A37" s="36">
        <v>45612</v>
      </c>
      <c r="B37" s="37" t="s">
        <v>58</v>
      </c>
      <c r="C37" s="25" t="str">
        <f>IF(B37="","",IFERROR(VLOOKUP(B37,FLOTA!$A:$D,4,0)&amp;" — "&amp;VLOOKUP(B37,FLOTA!$A:$D,3,0),IFERROR(VLOOKUP(B37,'FLOTA TERCEROS'!$A:$D,4,0)&amp;" — "&amp;VLOOKUP(B37,'FLOTA TERCEROS'!$A:$D,3,0),"⚠ No encontrado")))</f>
        <v>SPRINTER 515 CDIC — MERCEDES BENZ</v>
      </c>
      <c r="D37" s="38">
        <v>65</v>
      </c>
      <c r="E37" s="39" t="s">
        <v>107</v>
      </c>
      <c r="F37" s="28" t="s">
        <v>113</v>
      </c>
      <c r="G37" s="40"/>
    </row>
    <row r="38" spans="1:7" ht="18" customHeight="1">
      <c r="A38" s="36">
        <v>45615</v>
      </c>
      <c r="B38" s="37" t="s">
        <v>92</v>
      </c>
      <c r="C38" s="25" t="str">
        <f>IF(B38="","",IFERROR(VLOOKUP(B38,FLOTA!$A:$D,4,0)&amp;" — "&amp;VLOOKUP(B38,FLOTA!$A:$D,3,0),IFERROR(VLOOKUP(B38,'FLOTA TERCEROS'!$A:$D,4,0)&amp;" — "&amp;VLOOKUP(B38,'FLOTA TERCEROS'!$A:$D,3,0),"⚠ No encontrado")))</f>
        <v>→ completar — MERCEDES BENZ</v>
      </c>
      <c r="D38" s="38">
        <v>75</v>
      </c>
      <c r="E38" s="39" t="s">
        <v>107</v>
      </c>
      <c r="F38" s="28" t="s">
        <v>111</v>
      </c>
      <c r="G38" s="40"/>
    </row>
    <row r="39" spans="1:7" ht="18" customHeight="1">
      <c r="A39" s="36">
        <v>45615</v>
      </c>
      <c r="B39" s="37" t="s">
        <v>14</v>
      </c>
      <c r="C39" s="25" t="str">
        <f>IF(B39="","",IFERROR(VLOOKUP(B39,FLOTA!$A:$D,4,0)&amp;" — "&amp;VLOOKUP(B39,FLOTA!$A:$D,3,0),IFERROR(VLOOKUP(B39,'FLOTA TERCEROS'!$A:$D,4,0)&amp;" — "&amp;VLOOKUP(B39,'FLOTA TERCEROS'!$A:$D,3,0),"⚠ No encontrado")))</f>
        <v>HILUX CD SRV 3.0 4X4 — TOYOTA</v>
      </c>
      <c r="D39" s="38">
        <v>70</v>
      </c>
      <c r="E39" s="39" t="s">
        <v>107</v>
      </c>
      <c r="F39" s="28" t="s">
        <v>112</v>
      </c>
      <c r="G39" s="40"/>
    </row>
    <row r="40" spans="1:7" ht="18" customHeight="1">
      <c r="A40" s="36">
        <v>45615</v>
      </c>
      <c r="B40" s="37" t="s">
        <v>86</v>
      </c>
      <c r="C40" s="25" t="str">
        <f>IF(B40="","",IFERROR(VLOOKUP(B40,FLOTA!$A:$D,4,0)&amp;" — "&amp;VLOOKUP(B40,FLOTA!$A:$D,3,0),IFERROR(VLOOKUP(B40,'FLOTA TERCEROS'!$A:$D,4,0)&amp;" — "&amp;VLOOKUP(B40,'FLOTA TERCEROS'!$A:$D,3,0),"⚠ No encontrado")))</f>
        <v>RANGER — FORD</v>
      </c>
      <c r="D40" s="38">
        <v>60</v>
      </c>
      <c r="E40" s="39" t="s">
        <v>107</v>
      </c>
      <c r="F40" s="28" t="s">
        <v>116</v>
      </c>
      <c r="G40" s="40"/>
    </row>
    <row r="41" spans="1:7" ht="18" customHeight="1">
      <c r="A41" s="36">
        <v>45616</v>
      </c>
      <c r="B41" s="37" t="s">
        <v>96</v>
      </c>
      <c r="C41" s="25" t="str">
        <f>IF(B41="","",IFERROR(VLOOKUP(B41,FLOTA!$A:$D,4,0)&amp;" — "&amp;VLOOKUP(B41,FLOTA!$A:$D,3,0),IFERROR(VLOOKUP(B41,'FLOTA TERCEROS'!$A:$D,4,0)&amp;" — "&amp;VLOOKUP(B41,'FLOTA TERCEROS'!$A:$D,3,0),"⚠ No encontrado")))</f>
        <v>S10 — CHEVROLET</v>
      </c>
      <c r="D41" s="38">
        <v>50</v>
      </c>
      <c r="E41" s="39" t="s">
        <v>107</v>
      </c>
      <c r="F41" s="28" t="s">
        <v>117</v>
      </c>
      <c r="G41" s="40"/>
    </row>
    <row r="42" spans="1:7" ht="18" customHeight="1">
      <c r="A42" s="36">
        <v>45616</v>
      </c>
      <c r="B42" s="37" t="s">
        <v>81</v>
      </c>
      <c r="C42" s="25" t="str">
        <f>IF(B42="","",IFERROR(VLOOKUP(B42,FLOTA!$A:$D,4,0)&amp;" — "&amp;VLOOKUP(B42,FLOTA!$A:$D,3,0),IFERROR(VLOOKUP(B42,'FLOTA TERCEROS'!$A:$D,4,0)&amp;" — "&amp;VLOOKUP(B42,'FLOTA TERCEROS'!$A:$D,3,0),"⚠ No encontrado")))</f>
        <v>RANGER — FORD</v>
      </c>
      <c r="D42" s="38">
        <v>50</v>
      </c>
      <c r="E42" s="39" t="s">
        <v>107</v>
      </c>
      <c r="F42" s="28" t="s">
        <v>114</v>
      </c>
      <c r="G42" s="40"/>
    </row>
    <row r="43" spans="1:7" ht="18" customHeight="1">
      <c r="A43" s="36">
        <v>45616</v>
      </c>
      <c r="B43" s="37" t="s">
        <v>36</v>
      </c>
      <c r="C43" s="25" t="str">
        <f>IF(B43="","",IFERROR(VLOOKUP(B43,FLOTA!$A:$D,4,0)&amp;" — "&amp;VLOOKUP(B43,FLOTA!$A:$D,3,0),IFERROR(VLOOKUP(B43,'FLOTA TERCEROS'!$A:$D,4,0)&amp;" — "&amp;VLOOKUP(B43,'FLOTA TERCEROS'!$A:$D,3,0),"⚠ No encontrado")))</f>
        <v>HILUX 4X2 CD SRV 3.0 — TOYOTA</v>
      </c>
      <c r="D43" s="38">
        <v>62</v>
      </c>
      <c r="E43" s="39" t="s">
        <v>107</v>
      </c>
      <c r="F43" s="28" t="s">
        <v>110</v>
      </c>
      <c r="G43" s="40"/>
    </row>
    <row r="44" spans="1:7" ht="18" customHeight="1">
      <c r="A44" s="36">
        <v>45617</v>
      </c>
      <c r="B44" s="37" t="s">
        <v>43</v>
      </c>
      <c r="C44" s="25" t="str">
        <f>IF(B44="","",IFERROR(VLOOKUP(B44,FLOTA!$A:$D,4,0)&amp;" — "&amp;VLOOKUP(B44,FLOTA!$A:$D,3,0),IFERROR(VLOOKUP(B44,'FLOTA TERCEROS'!$A:$D,4,0)&amp;" — "&amp;VLOOKUP(B44,'FLOTA TERCEROS'!$A:$D,3,0),"⚠ No encontrado")))</f>
        <v>AMAROK CS 2.0 140CV — VOLKSWAGEN</v>
      </c>
      <c r="D44" s="38">
        <v>55</v>
      </c>
      <c r="E44" s="39" t="s">
        <v>107</v>
      </c>
      <c r="F44" s="28" t="s">
        <v>115</v>
      </c>
      <c r="G44" s="40"/>
    </row>
    <row r="45" spans="1:7" ht="18" customHeight="1">
      <c r="A45" s="36">
        <v>45618</v>
      </c>
      <c r="B45" s="37" t="s">
        <v>96</v>
      </c>
      <c r="C45" s="25" t="str">
        <f>IF(B45="","",IFERROR(VLOOKUP(B45,FLOTA!$A:$D,4,0)&amp;" — "&amp;VLOOKUP(B45,FLOTA!$A:$D,3,0),IFERROR(VLOOKUP(B45,'FLOTA TERCEROS'!$A:$D,4,0)&amp;" — "&amp;VLOOKUP(B45,'FLOTA TERCEROS'!$A:$D,3,0),"⚠ No encontrado")))</f>
        <v>S10 — CHEVROLET</v>
      </c>
      <c r="D45" s="38">
        <v>60</v>
      </c>
      <c r="E45" s="39" t="s">
        <v>107</v>
      </c>
      <c r="F45" s="28" t="s">
        <v>117</v>
      </c>
      <c r="G45" s="40"/>
    </row>
    <row r="46" spans="1:7" ht="18" customHeight="1">
      <c r="A46" s="36">
        <v>45618</v>
      </c>
      <c r="B46" s="37" t="s">
        <v>81</v>
      </c>
      <c r="C46" s="25" t="str">
        <f>IF(B46="","",IFERROR(VLOOKUP(B46,FLOTA!$A:$D,4,0)&amp;" — "&amp;VLOOKUP(B46,FLOTA!$A:$D,3,0),IFERROR(VLOOKUP(B46,'FLOTA TERCEROS'!$A:$D,4,0)&amp;" — "&amp;VLOOKUP(B46,'FLOTA TERCEROS'!$A:$D,3,0),"⚠ No encontrado")))</f>
        <v>RANGER — FORD</v>
      </c>
      <c r="D46" s="38">
        <v>70</v>
      </c>
      <c r="E46" s="39" t="s">
        <v>107</v>
      </c>
      <c r="F46" s="28" t="s">
        <v>118</v>
      </c>
      <c r="G46" s="40"/>
    </row>
    <row r="47" spans="1:7" ht="18" customHeight="1">
      <c r="A47" s="36">
        <v>45618</v>
      </c>
      <c r="B47" s="37" t="s">
        <v>66</v>
      </c>
      <c r="C47" s="25" t="str">
        <f>IF(B47="","",IFERROR(VLOOKUP(B47,FLOTA!$A:$D,4,0)&amp;" — "&amp;VLOOKUP(B47,FLOTA!$A:$D,3,0),IFERROR(VLOOKUP(B47,'FLOTA TERCEROS'!$A:$D,4,0)&amp;" — "&amp;VLOOKUP(B47,'FLOTA TERCEROS'!$A:$D,3,0),"⚠ No encontrado")))</f>
        <v>SPRINTER 515 CDIC — MERCEDES BENZ</v>
      </c>
      <c r="D47" s="38">
        <v>70</v>
      </c>
      <c r="E47" s="39" t="s">
        <v>107</v>
      </c>
      <c r="F47" s="28" t="s">
        <v>112</v>
      </c>
      <c r="G47" s="40"/>
    </row>
    <row r="48" spans="1:7" ht="18" customHeight="1">
      <c r="A48" s="36">
        <v>45618</v>
      </c>
      <c r="B48" s="37" t="s">
        <v>58</v>
      </c>
      <c r="C48" s="25" t="str">
        <f>IF(B48="","",IFERROR(VLOOKUP(B48,FLOTA!$A:$D,4,0)&amp;" — "&amp;VLOOKUP(B48,FLOTA!$A:$D,3,0),IFERROR(VLOOKUP(B48,'FLOTA TERCEROS'!$A:$D,4,0)&amp;" — "&amp;VLOOKUP(B48,'FLOTA TERCEROS'!$A:$D,3,0),"⚠ No encontrado")))</f>
        <v>SPRINTER 515 CDIC — MERCEDES BENZ</v>
      </c>
      <c r="D48" s="38">
        <v>55</v>
      </c>
      <c r="E48" s="39" t="s">
        <v>107</v>
      </c>
      <c r="F48" s="28" t="s">
        <v>113</v>
      </c>
      <c r="G48" s="40"/>
    </row>
    <row r="49" spans="1:7" ht="18" customHeight="1">
      <c r="A49" s="36">
        <v>45618</v>
      </c>
      <c r="B49" s="37" t="s">
        <v>49</v>
      </c>
      <c r="C49" s="25" t="str">
        <f>IF(B49="","",IFERROR(VLOOKUP(B49,FLOTA!$A:$D,4,0)&amp;" — "&amp;VLOOKUP(B49,FLOTA!$A:$D,3,0),IFERROR(VLOOKUP(B49,'FLOTA TERCEROS'!$A:$D,4,0)&amp;" — "&amp;VLOOKUP(B49,'FLOTA TERCEROS'!$A:$D,3,0),"⚠ No encontrado")))</f>
        <v>AMAROK CD 2.0 4X4 180CV — VOLKSWAGEN</v>
      </c>
      <c r="D49" s="38">
        <v>65</v>
      </c>
      <c r="E49" s="39" t="s">
        <v>107</v>
      </c>
      <c r="F49" s="28" t="s">
        <v>108</v>
      </c>
      <c r="G49" s="40"/>
    </row>
    <row r="50" spans="1:7" ht="18" customHeight="1">
      <c r="A50" s="36">
        <v>45622</v>
      </c>
      <c r="B50" s="37" t="s">
        <v>92</v>
      </c>
      <c r="C50" s="25" t="str">
        <f>IF(B50="","",IFERROR(VLOOKUP(B50,FLOTA!$A:$D,4,0)&amp;" — "&amp;VLOOKUP(B50,FLOTA!$A:$D,3,0),IFERROR(VLOOKUP(B50,'FLOTA TERCEROS'!$A:$D,4,0)&amp;" — "&amp;VLOOKUP(B50,'FLOTA TERCEROS'!$A:$D,3,0),"⚠ No encontrado")))</f>
        <v>→ completar — MERCEDES BENZ</v>
      </c>
      <c r="D50" s="38">
        <v>60</v>
      </c>
      <c r="E50" s="39" t="s">
        <v>107</v>
      </c>
      <c r="F50" s="28" t="s">
        <v>111</v>
      </c>
      <c r="G50" s="40"/>
    </row>
    <row r="51" spans="1:7" ht="18" customHeight="1">
      <c r="A51" s="36">
        <v>45622</v>
      </c>
      <c r="B51" s="37" t="s">
        <v>86</v>
      </c>
      <c r="C51" s="25" t="str">
        <f>IF(B51="","",IFERROR(VLOOKUP(B51,FLOTA!$A:$D,4,0)&amp;" — "&amp;VLOOKUP(B51,FLOTA!$A:$D,3,0),IFERROR(VLOOKUP(B51,'FLOTA TERCEROS'!$A:$D,4,0)&amp;" — "&amp;VLOOKUP(B51,'FLOTA TERCEROS'!$A:$D,3,0),"⚠ No encontrado")))</f>
        <v>RANGER — FORD</v>
      </c>
      <c r="D51" s="38">
        <v>65</v>
      </c>
      <c r="E51" s="39" t="s">
        <v>107</v>
      </c>
      <c r="F51" s="28" t="s">
        <v>116</v>
      </c>
      <c r="G51" s="40"/>
    </row>
    <row r="52" spans="1:7" ht="18" customHeight="1">
      <c r="A52" s="36">
        <v>45622</v>
      </c>
      <c r="B52" s="37" t="s">
        <v>36</v>
      </c>
      <c r="C52" s="25" t="str">
        <f>IF(B52="","",IFERROR(VLOOKUP(B52,FLOTA!$A:$D,4,0)&amp;" — "&amp;VLOOKUP(B52,FLOTA!$A:$D,3,0),IFERROR(VLOOKUP(B52,'FLOTA TERCEROS'!$A:$D,4,0)&amp;" — "&amp;VLOOKUP(B52,'FLOTA TERCEROS'!$A:$D,3,0),"⚠ No encontrado")))</f>
        <v>HILUX 4X2 CD SRV 3.0 — TOYOTA</v>
      </c>
      <c r="D52" s="38">
        <v>65</v>
      </c>
      <c r="E52" s="39" t="s">
        <v>107</v>
      </c>
      <c r="F52" s="28" t="s">
        <v>110</v>
      </c>
      <c r="G52" s="40"/>
    </row>
    <row r="53" spans="1:7" ht="18" customHeight="1">
      <c r="A53" s="36">
        <v>45623</v>
      </c>
      <c r="B53" s="37" t="s">
        <v>96</v>
      </c>
      <c r="C53" s="25" t="str">
        <f>IF(B53="","",IFERROR(VLOOKUP(B53,FLOTA!$A:$D,4,0)&amp;" — "&amp;VLOOKUP(B53,FLOTA!$A:$D,3,0),IFERROR(VLOOKUP(B53,'FLOTA TERCEROS'!$A:$D,4,0)&amp;" — "&amp;VLOOKUP(B53,'FLOTA TERCEROS'!$A:$D,3,0),"⚠ No encontrado")))</f>
        <v>S10 — CHEVROLET</v>
      </c>
      <c r="D53" s="38">
        <v>70</v>
      </c>
      <c r="E53" s="39" t="s">
        <v>107</v>
      </c>
      <c r="F53" s="28" t="s">
        <v>117</v>
      </c>
      <c r="G53" s="40"/>
    </row>
    <row r="54" spans="1:7" ht="18" customHeight="1">
      <c r="A54" s="36">
        <v>45623</v>
      </c>
      <c r="B54" s="37" t="s">
        <v>70</v>
      </c>
      <c r="C54" s="25" t="str">
        <f>IF(B54="","",IFERROR(VLOOKUP(B54,FLOTA!$A:$D,4,0)&amp;" — "&amp;VLOOKUP(B54,FLOTA!$A:$D,3,0),IFERROR(VLOOKUP(B54,'FLOTA TERCEROS'!$A:$D,4,0)&amp;" — "&amp;VLOOKUP(B54,'FLOTA TERCEROS'!$A:$D,3,0),"⚠ No encontrado")))</f>
        <v>TORO — FIAT</v>
      </c>
      <c r="D54" s="38">
        <v>45</v>
      </c>
      <c r="E54" s="39" t="s">
        <v>107</v>
      </c>
      <c r="F54" s="28" t="s">
        <v>112</v>
      </c>
      <c r="G54" s="40"/>
    </row>
    <row r="55" spans="1:7" ht="18" customHeight="1">
      <c r="A55" s="36">
        <v>45624</v>
      </c>
      <c r="B55" s="37" t="s">
        <v>92</v>
      </c>
      <c r="C55" s="25" t="str">
        <f>IF(B55="","",IFERROR(VLOOKUP(B55,FLOTA!$A:$D,4,0)&amp;" — "&amp;VLOOKUP(B55,FLOTA!$A:$D,3,0),IFERROR(VLOOKUP(B55,'FLOTA TERCEROS'!$A:$D,4,0)&amp;" — "&amp;VLOOKUP(B55,'FLOTA TERCEROS'!$A:$D,3,0),"⚠ No encontrado")))</f>
        <v>→ completar — MERCEDES BENZ</v>
      </c>
      <c r="D55" s="38">
        <v>30</v>
      </c>
      <c r="E55" s="39" t="s">
        <v>107</v>
      </c>
      <c r="F55" s="28" t="s">
        <v>111</v>
      </c>
      <c r="G55" s="40"/>
    </row>
    <row r="56" spans="1:7" ht="18" customHeight="1">
      <c r="A56" s="36">
        <v>45624</v>
      </c>
      <c r="B56" s="37" t="s">
        <v>66</v>
      </c>
      <c r="C56" s="25" t="str">
        <f>IF(B56="","",IFERROR(VLOOKUP(B56,FLOTA!$A:$D,4,0)&amp;" — "&amp;VLOOKUP(B56,FLOTA!$A:$D,3,0),IFERROR(VLOOKUP(B56,'FLOTA TERCEROS'!$A:$D,4,0)&amp;" — "&amp;VLOOKUP(B56,'FLOTA TERCEROS'!$A:$D,3,0),"⚠ No encontrado")))</f>
        <v>SPRINTER 515 CDIC — MERCEDES BENZ</v>
      </c>
      <c r="D56" s="38">
        <v>30</v>
      </c>
      <c r="E56" s="39" t="s">
        <v>107</v>
      </c>
      <c r="F56" s="28" t="s">
        <v>112</v>
      </c>
      <c r="G56" s="40"/>
    </row>
    <row r="57" spans="1:7" ht="18" customHeight="1">
      <c r="A57" s="36">
        <v>45624</v>
      </c>
      <c r="B57" s="37" t="s">
        <v>81</v>
      </c>
      <c r="C57" s="25" t="str">
        <f>IF(B57="","",IFERROR(VLOOKUP(B57,FLOTA!$A:$D,4,0)&amp;" — "&amp;VLOOKUP(B57,FLOTA!$A:$D,3,0),IFERROR(VLOOKUP(B57,'FLOTA TERCEROS'!$A:$D,4,0)&amp;" — "&amp;VLOOKUP(B57,'FLOTA TERCEROS'!$A:$D,3,0),"⚠ No encontrado")))</f>
        <v>RANGER — FORD</v>
      </c>
      <c r="D57" s="38">
        <v>46</v>
      </c>
      <c r="E57" s="39" t="s">
        <v>107</v>
      </c>
      <c r="F57" s="28" t="s">
        <v>114</v>
      </c>
      <c r="G57" s="40"/>
    </row>
    <row r="58" spans="1:7" ht="18" customHeight="1">
      <c r="A58" s="36">
        <v>45624</v>
      </c>
      <c r="B58" s="37" t="s">
        <v>43</v>
      </c>
      <c r="C58" s="25" t="str">
        <f>IF(B58="","",IFERROR(VLOOKUP(B58,FLOTA!$A:$D,4,0)&amp;" — "&amp;VLOOKUP(B58,FLOTA!$A:$D,3,0),IFERROR(VLOOKUP(B58,'FLOTA TERCEROS'!$A:$D,4,0)&amp;" — "&amp;VLOOKUP(B58,'FLOTA TERCEROS'!$A:$D,3,0),"⚠ No encontrado")))</f>
        <v>AMAROK CS 2.0 140CV — VOLKSWAGEN</v>
      </c>
      <c r="D58" s="38">
        <v>60</v>
      </c>
      <c r="E58" s="39" t="s">
        <v>107</v>
      </c>
      <c r="F58" s="28" t="s">
        <v>115</v>
      </c>
      <c r="G58" s="40"/>
    </row>
    <row r="59" spans="1:7" ht="18" customHeight="1">
      <c r="A59" s="36">
        <v>45625</v>
      </c>
      <c r="B59" s="37" t="s">
        <v>70</v>
      </c>
      <c r="C59" s="25" t="str">
        <f>IF(B59="","",IFERROR(VLOOKUP(B59,FLOTA!$A:$D,4,0)&amp;" — "&amp;VLOOKUP(B59,FLOTA!$A:$D,3,0),IFERROR(VLOOKUP(B59,'FLOTA TERCEROS'!$A:$D,4,0)&amp;" — "&amp;VLOOKUP(B59,'FLOTA TERCEROS'!$A:$D,3,0),"⚠ No encontrado")))</f>
        <v>TORO — FIAT</v>
      </c>
      <c r="D59" s="38">
        <v>50</v>
      </c>
      <c r="E59" s="39" t="s">
        <v>107</v>
      </c>
      <c r="F59" s="28" t="s">
        <v>118</v>
      </c>
      <c r="G59" s="40"/>
    </row>
    <row r="60" spans="1:7" ht="18" customHeight="1">
      <c r="A60" s="36">
        <v>45626</v>
      </c>
      <c r="B60" s="37" t="s">
        <v>66</v>
      </c>
      <c r="C60" s="25" t="str">
        <f>IF(B60="","",IFERROR(VLOOKUP(B60,FLOTA!$A:$D,4,0)&amp;" — "&amp;VLOOKUP(B60,FLOTA!$A:$D,3,0),IFERROR(VLOOKUP(B60,'FLOTA TERCEROS'!$A:$D,4,0)&amp;" — "&amp;VLOOKUP(B60,'FLOTA TERCEROS'!$A:$D,3,0),"⚠ No encontrado")))</f>
        <v>SPRINTER 515 CDIC — MERCEDES BENZ</v>
      </c>
      <c r="D60" s="38">
        <v>50</v>
      </c>
      <c r="E60" s="39" t="s">
        <v>107</v>
      </c>
      <c r="F60" s="28" t="s">
        <v>112</v>
      </c>
      <c r="G60" s="40"/>
    </row>
    <row r="61" spans="1:7" ht="18" customHeight="1">
      <c r="A61" s="36">
        <v>45626</v>
      </c>
      <c r="B61" s="37" t="s">
        <v>49</v>
      </c>
      <c r="C61" s="25" t="str">
        <f>IF(B61="","",IFERROR(VLOOKUP(B61,FLOTA!$A:$D,4,0)&amp;" — "&amp;VLOOKUP(B61,FLOTA!$A:$D,3,0),IFERROR(VLOOKUP(B61,'FLOTA TERCEROS'!$A:$D,4,0)&amp;" — "&amp;VLOOKUP(B61,'FLOTA TERCEROS'!$A:$D,3,0),"⚠ No encontrado")))</f>
        <v>AMAROK CD 2.0 4X4 180CV — VOLKSWAGEN</v>
      </c>
      <c r="D61" s="38">
        <v>75</v>
      </c>
      <c r="E61" s="39" t="s">
        <v>107</v>
      </c>
      <c r="F61" s="28" t="s">
        <v>108</v>
      </c>
      <c r="G61" s="40"/>
    </row>
    <row r="62" spans="1:7" ht="18" customHeight="1">
      <c r="A62" s="36">
        <v>45626</v>
      </c>
      <c r="B62" s="37" t="s">
        <v>96</v>
      </c>
      <c r="C62" s="25" t="str">
        <f>IF(B62="","",IFERROR(VLOOKUP(B62,FLOTA!$A:$D,4,0)&amp;" — "&amp;VLOOKUP(B62,FLOTA!$A:$D,3,0),IFERROR(VLOOKUP(B62,'FLOTA TERCEROS'!$A:$D,4,0)&amp;" — "&amp;VLOOKUP(B62,'FLOTA TERCEROS'!$A:$D,3,0),"⚠ No encontrado")))</f>
        <v>S10 — CHEVROLET</v>
      </c>
      <c r="D62" s="38">
        <v>65</v>
      </c>
      <c r="E62" s="39" t="s">
        <v>107</v>
      </c>
      <c r="F62" s="28" t="s">
        <v>117</v>
      </c>
      <c r="G62" s="40"/>
    </row>
    <row r="63" spans="1:7" ht="18" customHeight="1">
      <c r="A63" s="36">
        <v>45626</v>
      </c>
      <c r="B63" s="37" t="s">
        <v>86</v>
      </c>
      <c r="C63" s="25" t="str">
        <f>IF(B63="","",IFERROR(VLOOKUP(B63,FLOTA!$A:$D,4,0)&amp;" — "&amp;VLOOKUP(B63,FLOTA!$A:$D,3,0),IFERROR(VLOOKUP(B63,'FLOTA TERCEROS'!$A:$D,4,0)&amp;" — "&amp;VLOOKUP(B63,'FLOTA TERCEROS'!$A:$D,3,0),"⚠ No encontrado")))</f>
        <v>RANGER — FORD</v>
      </c>
      <c r="D63" s="38">
        <v>65</v>
      </c>
      <c r="E63" s="39" t="s">
        <v>107</v>
      </c>
      <c r="F63" s="28" t="s">
        <v>116</v>
      </c>
      <c r="G63" s="40"/>
    </row>
    <row r="64" spans="1:7" ht="18" customHeight="1">
      <c r="A64" s="36">
        <v>45628</v>
      </c>
      <c r="B64" s="37" t="s">
        <v>92</v>
      </c>
      <c r="C64" s="25" t="str">
        <f>IF(B64="","",IFERROR(VLOOKUP(B64,FLOTA!$A:$D,4,0)&amp;" — "&amp;VLOOKUP(B64,FLOTA!$A:$D,3,0),IFERROR(VLOOKUP(B64,'FLOTA TERCEROS'!$A:$D,4,0)&amp;" — "&amp;VLOOKUP(B64,'FLOTA TERCEROS'!$A:$D,3,0),"⚠ No encontrado")))</f>
        <v>→ completar — MERCEDES BENZ</v>
      </c>
      <c r="D64" s="38">
        <v>75</v>
      </c>
      <c r="E64" s="39" t="s">
        <v>107</v>
      </c>
      <c r="F64" s="28" t="s">
        <v>111</v>
      </c>
      <c r="G64" s="40"/>
    </row>
    <row r="65" spans="1:7" ht="18" customHeight="1">
      <c r="A65" s="36">
        <v>45628</v>
      </c>
      <c r="B65" s="37" t="s">
        <v>58</v>
      </c>
      <c r="C65" s="25" t="str">
        <f>IF(B65="","",IFERROR(VLOOKUP(B65,FLOTA!$A:$D,4,0)&amp;" — "&amp;VLOOKUP(B65,FLOTA!$A:$D,3,0),IFERROR(VLOOKUP(B65,'FLOTA TERCEROS'!$A:$D,4,0)&amp;" — "&amp;VLOOKUP(B65,'FLOTA TERCEROS'!$A:$D,3,0),"⚠ No encontrado")))</f>
        <v>SPRINTER 515 CDIC — MERCEDES BENZ</v>
      </c>
      <c r="D65" s="38">
        <v>75</v>
      </c>
      <c r="E65" s="39" t="s">
        <v>107</v>
      </c>
      <c r="F65" s="28" t="s">
        <v>113</v>
      </c>
      <c r="G65" s="40"/>
    </row>
    <row r="66" spans="1:7" ht="18" customHeight="1">
      <c r="A66" s="36">
        <v>45628</v>
      </c>
      <c r="B66" s="37" t="s">
        <v>36</v>
      </c>
      <c r="C66" s="25" t="str">
        <f>IF(B66="","",IFERROR(VLOOKUP(B66,FLOTA!$A:$D,4,0)&amp;" — "&amp;VLOOKUP(B66,FLOTA!$A:$D,3,0),IFERROR(VLOOKUP(B66,'FLOTA TERCEROS'!$A:$D,4,0)&amp;" — "&amp;VLOOKUP(B66,'FLOTA TERCEROS'!$A:$D,3,0),"⚠ No encontrado")))</f>
        <v>HILUX 4X2 CD SRV 3.0 — TOYOTA</v>
      </c>
      <c r="D66" s="38">
        <v>65</v>
      </c>
      <c r="E66" s="39" t="s">
        <v>107</v>
      </c>
      <c r="F66" s="28" t="s">
        <v>110</v>
      </c>
      <c r="G66" s="40"/>
    </row>
    <row r="67" spans="1:7" ht="18" customHeight="1">
      <c r="A67" s="36">
        <v>45629</v>
      </c>
      <c r="B67" s="37" t="s">
        <v>14</v>
      </c>
      <c r="C67" s="25" t="str">
        <f>IF(B67="","",IFERROR(VLOOKUP(B67,FLOTA!$A:$D,4,0)&amp;" — "&amp;VLOOKUP(B67,FLOTA!$A:$D,3,0),IFERROR(VLOOKUP(B67,'FLOTA TERCEROS'!$A:$D,4,0)&amp;" — "&amp;VLOOKUP(B67,'FLOTA TERCEROS'!$A:$D,3,0),"⚠ No encontrado")))</f>
        <v>HILUX CD SRV 3.0 4X4 — TOYOTA</v>
      </c>
      <c r="D67" s="38">
        <v>75</v>
      </c>
      <c r="E67" s="39" t="s">
        <v>107</v>
      </c>
      <c r="F67" s="28" t="s">
        <v>112</v>
      </c>
      <c r="G67" s="40"/>
    </row>
    <row r="68" spans="1:7" ht="18" customHeight="1">
      <c r="A68" s="36">
        <v>45630</v>
      </c>
      <c r="B68" s="37" t="s">
        <v>81</v>
      </c>
      <c r="C68" s="25" t="str">
        <f>IF(B68="","",IFERROR(VLOOKUP(B68,FLOTA!$A:$D,4,0)&amp;" — "&amp;VLOOKUP(B68,FLOTA!$A:$D,3,0),IFERROR(VLOOKUP(B68,'FLOTA TERCEROS'!$A:$D,4,0)&amp;" — "&amp;VLOOKUP(B68,'FLOTA TERCEROS'!$A:$D,3,0),"⚠ No encontrado")))</f>
        <v>RANGER — FORD</v>
      </c>
      <c r="D68" s="38">
        <v>80</v>
      </c>
      <c r="E68" s="39" t="s">
        <v>107</v>
      </c>
      <c r="F68" s="28" t="s">
        <v>114</v>
      </c>
      <c r="G68" s="40"/>
    </row>
    <row r="69" spans="1:7" ht="18" customHeight="1">
      <c r="A69" s="36">
        <v>45630</v>
      </c>
      <c r="B69" s="37" t="s">
        <v>70</v>
      </c>
      <c r="C69" s="25" t="str">
        <f>IF(B69="","",IFERROR(VLOOKUP(B69,FLOTA!$A:$D,4,0)&amp;" — "&amp;VLOOKUP(B69,FLOTA!$A:$D,3,0),IFERROR(VLOOKUP(B69,'FLOTA TERCEROS'!$A:$D,4,0)&amp;" — "&amp;VLOOKUP(B69,'FLOTA TERCEROS'!$A:$D,3,0),"⚠ No encontrado")))</f>
        <v>TORO — FIAT</v>
      </c>
      <c r="D69" s="38">
        <v>25</v>
      </c>
      <c r="E69" s="39" t="s">
        <v>107</v>
      </c>
      <c r="F69" s="28" t="s">
        <v>112</v>
      </c>
      <c r="G69" s="40"/>
    </row>
    <row r="70" spans="1:7" ht="18" customHeight="1">
      <c r="A70" s="36">
        <v>45631</v>
      </c>
      <c r="B70" s="37" t="s">
        <v>95</v>
      </c>
      <c r="C70" s="25" t="str">
        <f>IF(B70="","",IFERROR(VLOOKUP(B70,FLOTA!$A:$D,4,0)&amp;" — "&amp;VLOOKUP(B70,FLOTA!$A:$D,3,0),IFERROR(VLOOKUP(B70,'FLOTA TERCEROS'!$A:$D,4,0)&amp;" — "&amp;VLOOKUP(B70,'FLOTA TERCEROS'!$A:$D,3,0),"⚠ No encontrado")))</f>
        <v>→ completar — MERCEDES BENZ</v>
      </c>
      <c r="D70" s="38">
        <v>80</v>
      </c>
      <c r="E70" s="39" t="s">
        <v>107</v>
      </c>
      <c r="F70" s="28" t="s">
        <v>112</v>
      </c>
      <c r="G70" s="40"/>
    </row>
    <row r="71" spans="1:7" ht="18" customHeight="1">
      <c r="A71" s="36">
        <v>45631</v>
      </c>
      <c r="B71" s="37" t="s">
        <v>43</v>
      </c>
      <c r="C71" s="25" t="str">
        <f>IF(B71="","",IFERROR(VLOOKUP(B71,FLOTA!$A:$D,4,0)&amp;" — "&amp;VLOOKUP(B71,FLOTA!$A:$D,3,0),IFERROR(VLOOKUP(B71,'FLOTA TERCEROS'!$A:$D,4,0)&amp;" — "&amp;VLOOKUP(B71,'FLOTA TERCEROS'!$A:$D,3,0),"⚠ No encontrado")))</f>
        <v>AMAROK CS 2.0 140CV — VOLKSWAGEN</v>
      </c>
      <c r="D71" s="38">
        <v>80</v>
      </c>
      <c r="E71" s="39" t="s">
        <v>107</v>
      </c>
      <c r="F71" s="28" t="s">
        <v>115</v>
      </c>
      <c r="G71" s="40"/>
    </row>
    <row r="72" spans="1:7" ht="18" customHeight="1">
      <c r="A72" s="36">
        <v>45631</v>
      </c>
      <c r="B72" s="37" t="s">
        <v>66</v>
      </c>
      <c r="C72" s="25" t="str">
        <f>IF(B72="","",IFERROR(VLOOKUP(B72,FLOTA!$A:$D,4,0)&amp;" — "&amp;VLOOKUP(B72,FLOTA!$A:$D,3,0),IFERROR(VLOOKUP(B72,'FLOTA TERCEROS'!$A:$D,4,0)&amp;" — "&amp;VLOOKUP(B72,'FLOTA TERCEROS'!$A:$D,3,0),"⚠ No encontrado")))</f>
        <v>SPRINTER 515 CDIC — MERCEDES BENZ</v>
      </c>
      <c r="D72" s="38">
        <v>60</v>
      </c>
      <c r="E72" s="39" t="s">
        <v>107</v>
      </c>
      <c r="F72" s="28" t="s">
        <v>112</v>
      </c>
      <c r="G72" s="40"/>
    </row>
    <row r="73" spans="1:7" ht="18" customHeight="1">
      <c r="A73" s="36">
        <v>45632</v>
      </c>
      <c r="B73" s="37" t="s">
        <v>92</v>
      </c>
      <c r="C73" s="25" t="str">
        <f>IF(B73="","",IFERROR(VLOOKUP(B73,FLOTA!$A:$D,4,0)&amp;" — "&amp;VLOOKUP(B73,FLOTA!$A:$D,3,0),IFERROR(VLOOKUP(B73,'FLOTA TERCEROS'!$A:$D,4,0)&amp;" — "&amp;VLOOKUP(B73,'FLOTA TERCEROS'!$A:$D,3,0),"⚠ No encontrado")))</f>
        <v>→ completar — MERCEDES BENZ</v>
      </c>
      <c r="D73" s="38">
        <v>50</v>
      </c>
      <c r="E73" s="39" t="s">
        <v>107</v>
      </c>
      <c r="F73" s="28" t="s">
        <v>111</v>
      </c>
      <c r="G73" s="40"/>
    </row>
    <row r="74" spans="1:7" ht="18" customHeight="1">
      <c r="A74" s="36">
        <v>45632</v>
      </c>
      <c r="B74" s="37" t="s">
        <v>96</v>
      </c>
      <c r="C74" s="25" t="str">
        <f>IF(B74="","",IFERROR(VLOOKUP(B74,FLOTA!$A:$D,4,0)&amp;" — "&amp;VLOOKUP(B74,FLOTA!$A:$D,3,0),IFERROR(VLOOKUP(B74,'FLOTA TERCEROS'!$A:$D,4,0)&amp;" — "&amp;VLOOKUP(B74,'FLOTA TERCEROS'!$A:$D,3,0),"⚠ No encontrado")))</f>
        <v>S10 — CHEVROLET</v>
      </c>
      <c r="D74" s="38">
        <v>80</v>
      </c>
      <c r="E74" s="39" t="s">
        <v>107</v>
      </c>
      <c r="F74" s="28" t="s">
        <v>117</v>
      </c>
      <c r="G74" s="40"/>
    </row>
    <row r="75" spans="1:7" ht="18" customHeight="1">
      <c r="A75" s="36">
        <v>45632</v>
      </c>
      <c r="B75" s="37" t="s">
        <v>70</v>
      </c>
      <c r="C75" s="25" t="str">
        <f>IF(B75="","",IFERROR(VLOOKUP(B75,FLOTA!$A:$D,4,0)&amp;" — "&amp;VLOOKUP(B75,FLOTA!$A:$D,3,0),IFERROR(VLOOKUP(B75,'FLOTA TERCEROS'!$A:$D,4,0)&amp;" — "&amp;VLOOKUP(B75,'FLOTA TERCEROS'!$A:$D,3,0),"⚠ No encontrado")))</f>
        <v>TORO — FIAT</v>
      </c>
      <c r="D75" s="38">
        <v>50</v>
      </c>
      <c r="E75" s="39" t="s">
        <v>107</v>
      </c>
      <c r="F75" s="28" t="s">
        <v>112</v>
      </c>
      <c r="G75" s="40"/>
    </row>
    <row r="76" spans="1:7" ht="18" customHeight="1">
      <c r="A76" s="36">
        <v>45633</v>
      </c>
      <c r="B76" s="37" t="s">
        <v>81</v>
      </c>
      <c r="C76" s="25" t="str">
        <f>IF(B76="","",IFERROR(VLOOKUP(B76,FLOTA!$A:$D,4,0)&amp;" — "&amp;VLOOKUP(B76,FLOTA!$A:$D,3,0),IFERROR(VLOOKUP(B76,'FLOTA TERCEROS'!$A:$D,4,0)&amp;" — "&amp;VLOOKUP(B76,'FLOTA TERCEROS'!$A:$D,3,0),"⚠ No encontrado")))</f>
        <v>RANGER — FORD</v>
      </c>
      <c r="D76" s="38">
        <v>50</v>
      </c>
      <c r="E76" s="39" t="s">
        <v>107</v>
      </c>
      <c r="F76" s="28" t="s">
        <v>118</v>
      </c>
      <c r="G76" s="40"/>
    </row>
    <row r="77" spans="1:7" ht="18" customHeight="1">
      <c r="A77" s="36">
        <v>45633</v>
      </c>
      <c r="B77" s="37" t="s">
        <v>36</v>
      </c>
      <c r="C77" s="25" t="str">
        <f>IF(B77="","",IFERROR(VLOOKUP(B77,FLOTA!$A:$D,4,0)&amp;" — "&amp;VLOOKUP(B77,FLOTA!$A:$D,3,0),IFERROR(VLOOKUP(B77,'FLOTA TERCEROS'!$A:$D,4,0)&amp;" — "&amp;VLOOKUP(B77,'FLOTA TERCEROS'!$A:$D,3,0),"⚠ No encontrado")))</f>
        <v>HILUX 4X2 CD SRV 3.0 — TOYOTA</v>
      </c>
      <c r="D77" s="38">
        <v>70</v>
      </c>
      <c r="E77" s="39" t="s">
        <v>107</v>
      </c>
      <c r="F77" s="28" t="s">
        <v>110</v>
      </c>
      <c r="G77" s="40"/>
    </row>
    <row r="78" spans="1:7" ht="18" customHeight="1">
      <c r="A78" s="36">
        <v>45637</v>
      </c>
      <c r="B78" s="37" t="s">
        <v>86</v>
      </c>
      <c r="C78" s="25" t="str">
        <f>IF(B78="","",IFERROR(VLOOKUP(B78,FLOTA!$A:$D,4,0)&amp;" — "&amp;VLOOKUP(B78,FLOTA!$A:$D,3,0),IFERROR(VLOOKUP(B78,'FLOTA TERCEROS'!$A:$D,4,0)&amp;" — "&amp;VLOOKUP(B78,'FLOTA TERCEROS'!$A:$D,3,0),"⚠ No encontrado")))</f>
        <v>RANGER — FORD</v>
      </c>
      <c r="D78" s="38">
        <v>45</v>
      </c>
      <c r="E78" s="39" t="s">
        <v>107</v>
      </c>
      <c r="F78" s="28" t="s">
        <v>116</v>
      </c>
      <c r="G78" s="40"/>
    </row>
    <row r="79" spans="1:7" ht="18" customHeight="1">
      <c r="A79" s="36">
        <v>45640</v>
      </c>
      <c r="B79" s="37" t="s">
        <v>81</v>
      </c>
      <c r="C79" s="25" t="str">
        <f>IF(B79="","",IFERROR(VLOOKUP(B79,FLOTA!$A:$D,4,0)&amp;" — "&amp;VLOOKUP(B79,FLOTA!$A:$D,3,0),IFERROR(VLOOKUP(B79,'FLOTA TERCEROS'!$A:$D,4,0)&amp;" — "&amp;VLOOKUP(B79,'FLOTA TERCEROS'!$A:$D,3,0),"⚠ No encontrado")))</f>
        <v>RANGER — FORD</v>
      </c>
      <c r="D79" s="38">
        <v>60</v>
      </c>
      <c r="E79" s="39" t="s">
        <v>107</v>
      </c>
      <c r="F79" s="28" t="s">
        <v>118</v>
      </c>
      <c r="G79" s="40"/>
    </row>
    <row r="80" spans="1:7" ht="18" customHeight="1">
      <c r="A80" s="36">
        <v>45640</v>
      </c>
      <c r="B80" s="37" t="s">
        <v>86</v>
      </c>
      <c r="C80" s="25" t="str">
        <f>IF(B80="","",IFERROR(VLOOKUP(B80,FLOTA!$A:$D,4,0)&amp;" — "&amp;VLOOKUP(B80,FLOTA!$A:$D,3,0),IFERROR(VLOOKUP(B80,'FLOTA TERCEROS'!$A:$D,4,0)&amp;" — "&amp;VLOOKUP(B80,'FLOTA TERCEROS'!$A:$D,3,0),"⚠ No encontrado")))</f>
        <v>RANGER — FORD</v>
      </c>
      <c r="D80" s="38">
        <v>50</v>
      </c>
      <c r="E80" s="39" t="s">
        <v>107</v>
      </c>
      <c r="F80" s="28" t="s">
        <v>116</v>
      </c>
      <c r="G80" s="40"/>
    </row>
    <row r="81" spans="1:7" ht="18" customHeight="1">
      <c r="A81" s="36">
        <v>45642</v>
      </c>
      <c r="B81" s="37" t="s">
        <v>92</v>
      </c>
      <c r="C81" s="25" t="str">
        <f>IF(B81="","",IFERROR(VLOOKUP(B81,FLOTA!$A:$D,4,0)&amp;" — "&amp;VLOOKUP(B81,FLOTA!$A:$D,3,0),IFERROR(VLOOKUP(B81,'FLOTA TERCEROS'!$A:$D,4,0)&amp;" — "&amp;VLOOKUP(B81,'FLOTA TERCEROS'!$A:$D,3,0),"⚠ No encontrado")))</f>
        <v>→ completar — MERCEDES BENZ</v>
      </c>
      <c r="D81" s="38">
        <v>70</v>
      </c>
      <c r="E81" s="39" t="s">
        <v>107</v>
      </c>
      <c r="F81" s="28" t="s">
        <v>111</v>
      </c>
      <c r="G81" s="40"/>
    </row>
    <row r="82" spans="1:7" ht="18" customHeight="1">
      <c r="A82" s="36">
        <v>45642</v>
      </c>
      <c r="B82" s="37" t="s">
        <v>66</v>
      </c>
      <c r="C82" s="25" t="str">
        <f>IF(B82="","",IFERROR(VLOOKUP(B82,FLOTA!$A:$D,4,0)&amp;" — "&amp;VLOOKUP(B82,FLOTA!$A:$D,3,0),IFERROR(VLOOKUP(B82,'FLOTA TERCEROS'!$A:$D,4,0)&amp;" — "&amp;VLOOKUP(B82,'FLOTA TERCEROS'!$A:$D,3,0),"⚠ No encontrado")))</f>
        <v>SPRINTER 515 CDIC — MERCEDES BENZ</v>
      </c>
      <c r="D82" s="38">
        <v>67</v>
      </c>
      <c r="E82" s="39" t="s">
        <v>107</v>
      </c>
      <c r="F82" s="28" t="s">
        <v>119</v>
      </c>
      <c r="G82" s="40"/>
    </row>
    <row r="83" spans="1:7" ht="18" customHeight="1">
      <c r="A83" s="36">
        <v>45642</v>
      </c>
      <c r="B83" s="37" t="s">
        <v>58</v>
      </c>
      <c r="C83" s="25" t="str">
        <f>IF(B83="","",IFERROR(VLOOKUP(B83,FLOTA!$A:$D,4,0)&amp;" — "&amp;VLOOKUP(B83,FLOTA!$A:$D,3,0),IFERROR(VLOOKUP(B83,'FLOTA TERCEROS'!$A:$D,4,0)&amp;" — "&amp;VLOOKUP(B83,'FLOTA TERCEROS'!$A:$D,3,0),"⚠ No encontrado")))</f>
        <v>SPRINTER 515 CDIC — MERCEDES BENZ</v>
      </c>
      <c r="D83" s="38">
        <v>70</v>
      </c>
      <c r="E83" s="39" t="s">
        <v>107</v>
      </c>
      <c r="F83" s="28" t="s">
        <v>113</v>
      </c>
      <c r="G83" s="40"/>
    </row>
    <row r="84" spans="1:7" ht="18" customHeight="1">
      <c r="A84" s="36">
        <v>45643</v>
      </c>
      <c r="B84" s="37" t="s">
        <v>36</v>
      </c>
      <c r="C84" s="25" t="str">
        <f>IF(B84="","",IFERROR(VLOOKUP(B84,FLOTA!$A:$D,4,0)&amp;" — "&amp;VLOOKUP(B84,FLOTA!$A:$D,3,0),IFERROR(VLOOKUP(B84,'FLOTA TERCEROS'!$A:$D,4,0)&amp;" — "&amp;VLOOKUP(B84,'FLOTA TERCEROS'!$A:$D,3,0),"⚠ No encontrado")))</f>
        <v>HILUX 4X2 CD SRV 3.0 — TOYOTA</v>
      </c>
      <c r="D84" s="38">
        <v>80</v>
      </c>
      <c r="E84" s="39" t="s">
        <v>107</v>
      </c>
      <c r="F84" s="28" t="s">
        <v>110</v>
      </c>
      <c r="G84" s="40"/>
    </row>
    <row r="85" spans="1:7" ht="18" customHeight="1">
      <c r="A85" s="36">
        <v>45644</v>
      </c>
      <c r="B85" s="37" t="s">
        <v>14</v>
      </c>
      <c r="C85" s="25" t="str">
        <f>IF(B85="","",IFERROR(VLOOKUP(B85,FLOTA!$A:$D,4,0)&amp;" — "&amp;VLOOKUP(B85,FLOTA!$A:$D,3,0),IFERROR(VLOOKUP(B85,'FLOTA TERCEROS'!$A:$D,4,0)&amp;" — "&amp;VLOOKUP(B85,'FLOTA TERCEROS'!$A:$D,3,0),"⚠ No encontrado")))</f>
        <v>HILUX CD SRV 3.0 4X4 — TOYOTA</v>
      </c>
      <c r="D85" s="38">
        <v>50</v>
      </c>
      <c r="E85" s="39" t="s">
        <v>107</v>
      </c>
      <c r="F85" s="28" t="s">
        <v>112</v>
      </c>
      <c r="G85" s="40"/>
    </row>
    <row r="86" spans="1:7" ht="18" customHeight="1">
      <c r="A86" s="36">
        <v>45644</v>
      </c>
      <c r="B86" s="37" t="s">
        <v>81</v>
      </c>
      <c r="C86" s="25" t="str">
        <f>IF(B86="","",IFERROR(VLOOKUP(B86,FLOTA!$A:$D,4,0)&amp;" — "&amp;VLOOKUP(B86,FLOTA!$A:$D,3,0),IFERROR(VLOOKUP(B86,'FLOTA TERCEROS'!$A:$D,4,0)&amp;" — "&amp;VLOOKUP(B86,'FLOTA TERCEROS'!$A:$D,3,0),"⚠ No encontrado")))</f>
        <v>RANGER — FORD</v>
      </c>
      <c r="D86" s="38">
        <v>45</v>
      </c>
      <c r="E86" s="39" t="s">
        <v>107</v>
      </c>
      <c r="F86" s="28" t="s">
        <v>114</v>
      </c>
      <c r="G86" s="40"/>
    </row>
    <row r="87" spans="1:7" ht="18" customHeight="1">
      <c r="A87" s="36">
        <v>45644</v>
      </c>
      <c r="B87" s="37" t="s">
        <v>43</v>
      </c>
      <c r="C87" s="25" t="str">
        <f>IF(B87="","",IFERROR(VLOOKUP(B87,FLOTA!$A:$D,4,0)&amp;" — "&amp;VLOOKUP(B87,FLOTA!$A:$D,3,0),IFERROR(VLOOKUP(B87,'FLOTA TERCEROS'!$A:$D,4,0)&amp;" — "&amp;VLOOKUP(B87,'FLOTA TERCEROS'!$A:$D,3,0),"⚠ No encontrado")))</f>
        <v>AMAROK CS 2.0 140CV — VOLKSWAGEN</v>
      </c>
      <c r="D87" s="38">
        <v>70</v>
      </c>
      <c r="E87" s="39" t="s">
        <v>107</v>
      </c>
      <c r="F87" s="28" t="s">
        <v>115</v>
      </c>
      <c r="G87" s="40"/>
    </row>
    <row r="88" spans="1:7" ht="18" customHeight="1">
      <c r="A88" s="36">
        <v>45644</v>
      </c>
      <c r="B88" s="37" t="s">
        <v>49</v>
      </c>
      <c r="C88" s="25" t="str">
        <f>IF(B88="","",IFERROR(VLOOKUP(B88,FLOTA!$A:$D,4,0)&amp;" — "&amp;VLOOKUP(B88,FLOTA!$A:$D,3,0),IFERROR(VLOOKUP(B88,'FLOTA TERCEROS'!$A:$D,4,0)&amp;" — "&amp;VLOOKUP(B88,'FLOTA TERCEROS'!$A:$D,3,0),"⚠ No encontrado")))</f>
        <v>AMAROK CD 2.0 4X4 180CV — VOLKSWAGEN</v>
      </c>
      <c r="D88" s="38">
        <v>70</v>
      </c>
      <c r="E88" s="39" t="s">
        <v>107</v>
      </c>
      <c r="F88" s="28" t="s">
        <v>108</v>
      </c>
      <c r="G88" s="40"/>
    </row>
    <row r="89" spans="1:7" ht="18" customHeight="1">
      <c r="A89" s="36">
        <v>45645</v>
      </c>
      <c r="B89" s="37" t="s">
        <v>92</v>
      </c>
      <c r="C89" s="25" t="str">
        <f>IF(B89="","",IFERROR(VLOOKUP(B89,FLOTA!$A:$D,4,0)&amp;" — "&amp;VLOOKUP(B89,FLOTA!$A:$D,3,0),IFERROR(VLOOKUP(B89,'FLOTA TERCEROS'!$A:$D,4,0)&amp;" — "&amp;VLOOKUP(B89,'FLOTA TERCEROS'!$A:$D,3,0),"⚠ No encontrado")))</f>
        <v>→ completar — MERCEDES BENZ</v>
      </c>
      <c r="D89" s="38">
        <v>60</v>
      </c>
      <c r="E89" s="39" t="s">
        <v>107</v>
      </c>
      <c r="F89" s="28" t="s">
        <v>111</v>
      </c>
      <c r="G89" s="40"/>
    </row>
    <row r="90" spans="1:7" ht="18" customHeight="1">
      <c r="A90" s="36">
        <v>45645</v>
      </c>
      <c r="B90" s="37" t="s">
        <v>66</v>
      </c>
      <c r="C90" s="25" t="str">
        <f>IF(B90="","",IFERROR(VLOOKUP(B90,FLOTA!$A:$D,4,0)&amp;" — "&amp;VLOOKUP(B90,FLOTA!$A:$D,3,0),IFERROR(VLOOKUP(B90,'FLOTA TERCEROS'!$A:$D,4,0)&amp;" — "&amp;VLOOKUP(B90,'FLOTA TERCEROS'!$A:$D,3,0),"⚠ No encontrado")))</f>
        <v>SPRINTER 515 CDIC — MERCEDES BENZ</v>
      </c>
      <c r="D90" s="38">
        <v>50</v>
      </c>
      <c r="E90" s="39" t="s">
        <v>107</v>
      </c>
      <c r="F90" s="28" t="s">
        <v>119</v>
      </c>
      <c r="G90" s="40"/>
    </row>
    <row r="91" spans="1:7" ht="18" customHeight="1">
      <c r="A91" s="36">
        <v>45646</v>
      </c>
      <c r="B91" s="37" t="s">
        <v>86</v>
      </c>
      <c r="C91" s="25" t="str">
        <f>IF(B91="","",IFERROR(VLOOKUP(B91,FLOTA!$A:$D,4,0)&amp;" — "&amp;VLOOKUP(B91,FLOTA!$A:$D,3,0),IFERROR(VLOOKUP(B91,'FLOTA TERCEROS'!$A:$D,4,0)&amp;" — "&amp;VLOOKUP(B91,'FLOTA TERCEROS'!$A:$D,3,0),"⚠ No encontrado")))</f>
        <v>RANGER — FORD</v>
      </c>
      <c r="D91" s="38">
        <v>60</v>
      </c>
      <c r="E91" s="39" t="s">
        <v>107</v>
      </c>
      <c r="F91" s="28" t="s">
        <v>116</v>
      </c>
      <c r="G91" s="40"/>
    </row>
    <row r="92" spans="1:7" ht="18" customHeight="1">
      <c r="A92" s="36">
        <v>45646</v>
      </c>
      <c r="B92" s="37" t="s">
        <v>81</v>
      </c>
      <c r="C92" s="25" t="str">
        <f>IF(B92="","",IFERROR(VLOOKUP(B92,FLOTA!$A:$D,4,0)&amp;" — "&amp;VLOOKUP(B92,FLOTA!$A:$D,3,0),IFERROR(VLOOKUP(B92,'FLOTA TERCEROS'!$A:$D,4,0)&amp;" — "&amp;VLOOKUP(B92,'FLOTA TERCEROS'!$A:$D,3,0),"⚠ No encontrado")))</f>
        <v>RANGER — FORD</v>
      </c>
      <c r="D92" s="38">
        <v>75</v>
      </c>
      <c r="E92" s="39" t="s">
        <v>107</v>
      </c>
      <c r="F92" s="28" t="s">
        <v>118</v>
      </c>
      <c r="G92" s="40"/>
    </row>
    <row r="93" spans="1:7" ht="18" customHeight="1">
      <c r="A93" s="36">
        <v>45647</v>
      </c>
      <c r="B93" s="37" t="s">
        <v>81</v>
      </c>
      <c r="C93" s="25" t="str">
        <f>IF(B93="","",IFERROR(VLOOKUP(B93,FLOTA!$A:$D,4,0)&amp;" — "&amp;VLOOKUP(B93,FLOTA!$A:$D,3,0),IFERROR(VLOOKUP(B93,'FLOTA TERCEROS'!$A:$D,4,0)&amp;" — "&amp;VLOOKUP(B93,'FLOTA TERCEROS'!$A:$D,3,0),"⚠ No encontrado")))</f>
        <v>RANGER — FORD</v>
      </c>
      <c r="D93" s="38">
        <v>35</v>
      </c>
      <c r="E93" s="39" t="s">
        <v>107</v>
      </c>
      <c r="F93" s="28" t="s">
        <v>118</v>
      </c>
      <c r="G93" s="40"/>
    </row>
    <row r="94" spans="1:7" ht="18" customHeight="1">
      <c r="A94" s="36">
        <v>45649</v>
      </c>
      <c r="B94" s="37" t="s">
        <v>81</v>
      </c>
      <c r="C94" s="25" t="str">
        <f>IF(B94="","",IFERROR(VLOOKUP(B94,FLOTA!$A:$D,4,0)&amp;" — "&amp;VLOOKUP(B94,FLOTA!$A:$D,3,0),IFERROR(VLOOKUP(B94,'FLOTA TERCEROS'!$A:$D,4,0)&amp;" — "&amp;VLOOKUP(B94,'FLOTA TERCEROS'!$A:$D,3,0),"⚠ No encontrado")))</f>
        <v>RANGER — FORD</v>
      </c>
      <c r="D94" s="38">
        <v>50</v>
      </c>
      <c r="E94" s="39" t="s">
        <v>107</v>
      </c>
      <c r="F94" s="28" t="s">
        <v>118</v>
      </c>
      <c r="G94" s="40"/>
    </row>
    <row r="95" spans="1:7" ht="18" customHeight="1">
      <c r="A95" s="36">
        <v>45653</v>
      </c>
      <c r="B95" s="37" t="s">
        <v>36</v>
      </c>
      <c r="C95" s="25" t="str">
        <f>IF(B95="","",IFERROR(VLOOKUP(B95,FLOTA!$A:$D,4,0)&amp;" — "&amp;VLOOKUP(B95,FLOTA!$A:$D,3,0),IFERROR(VLOOKUP(B95,'FLOTA TERCEROS'!$A:$D,4,0)&amp;" — "&amp;VLOOKUP(B95,'FLOTA TERCEROS'!$A:$D,3,0),"⚠ No encontrado")))</f>
        <v>HILUX 4X2 CD SRV 3.0 — TOYOTA</v>
      </c>
      <c r="D95" s="38">
        <v>70</v>
      </c>
      <c r="E95" s="39" t="s">
        <v>107</v>
      </c>
      <c r="F95" s="28" t="s">
        <v>110</v>
      </c>
      <c r="G95" s="40"/>
    </row>
    <row r="96" spans="1:7" ht="18" customHeight="1">
      <c r="A96" s="36">
        <v>45653</v>
      </c>
      <c r="B96" s="37" t="s">
        <v>86</v>
      </c>
      <c r="C96" s="25" t="str">
        <f>IF(B96="","",IFERROR(VLOOKUP(B96,FLOTA!$A:$D,4,0)&amp;" — "&amp;VLOOKUP(B96,FLOTA!$A:$D,3,0),IFERROR(VLOOKUP(B96,'FLOTA TERCEROS'!$A:$D,4,0)&amp;" — "&amp;VLOOKUP(B96,'FLOTA TERCEROS'!$A:$D,3,0),"⚠ No encontrado")))</f>
        <v>RANGER — FORD</v>
      </c>
      <c r="D96" s="38">
        <v>60</v>
      </c>
      <c r="E96" s="39" t="s">
        <v>107</v>
      </c>
      <c r="F96" s="28" t="s">
        <v>116</v>
      </c>
      <c r="G96" s="40"/>
    </row>
    <row r="97" spans="1:7" ht="18" customHeight="1">
      <c r="A97" s="36">
        <v>45653</v>
      </c>
      <c r="B97" s="37" t="s">
        <v>43</v>
      </c>
      <c r="C97" s="25" t="str">
        <f>IF(B97="","",IFERROR(VLOOKUP(B97,FLOTA!$A:$D,4,0)&amp;" — "&amp;VLOOKUP(B97,FLOTA!$A:$D,3,0),IFERROR(VLOOKUP(B97,'FLOTA TERCEROS'!$A:$D,4,0)&amp;" — "&amp;VLOOKUP(B97,'FLOTA TERCEROS'!$A:$D,3,0),"⚠ No encontrado")))</f>
        <v>AMAROK CS 2.0 140CV — VOLKSWAGEN</v>
      </c>
      <c r="D97" s="38">
        <v>70</v>
      </c>
      <c r="E97" s="39" t="s">
        <v>107</v>
      </c>
      <c r="F97" s="28" t="s">
        <v>108</v>
      </c>
      <c r="G97" s="40"/>
    </row>
    <row r="98" spans="1:7" ht="18" customHeight="1">
      <c r="A98" s="36">
        <v>45653</v>
      </c>
      <c r="B98" s="37" t="s">
        <v>66</v>
      </c>
      <c r="C98" s="25" t="str">
        <f>IF(B98="","",IFERROR(VLOOKUP(B98,FLOTA!$A:$D,4,0)&amp;" — "&amp;VLOOKUP(B98,FLOTA!$A:$D,3,0),IFERROR(VLOOKUP(B98,'FLOTA TERCEROS'!$A:$D,4,0)&amp;" — "&amp;VLOOKUP(B98,'FLOTA TERCEROS'!$A:$D,3,0),"⚠ No encontrado")))</f>
        <v>SPRINTER 515 CDIC — MERCEDES BENZ</v>
      </c>
      <c r="D98" s="38">
        <v>60</v>
      </c>
      <c r="E98" s="39" t="s">
        <v>107</v>
      </c>
      <c r="F98" s="28" t="s">
        <v>119</v>
      </c>
      <c r="G98" s="40"/>
    </row>
    <row r="99" spans="1:7" ht="18" customHeight="1">
      <c r="A99" s="36">
        <v>45653</v>
      </c>
      <c r="B99" s="37" t="s">
        <v>58</v>
      </c>
      <c r="C99" s="25" t="str">
        <f>IF(B99="","",IFERROR(VLOOKUP(B99,FLOTA!$A:$D,4,0)&amp;" — "&amp;VLOOKUP(B99,FLOTA!$A:$D,3,0),IFERROR(VLOOKUP(B99,'FLOTA TERCEROS'!$A:$D,4,0)&amp;" — "&amp;VLOOKUP(B99,'FLOTA TERCEROS'!$A:$D,3,0),"⚠ No encontrado")))</f>
        <v>SPRINTER 515 CDIC — MERCEDES BENZ</v>
      </c>
      <c r="D99" s="38">
        <v>75</v>
      </c>
      <c r="E99" s="39" t="s">
        <v>107</v>
      </c>
      <c r="F99" s="28" t="s">
        <v>113</v>
      </c>
      <c r="G99" s="40"/>
    </row>
    <row r="100" spans="1:7" ht="18" customHeight="1">
      <c r="A100" s="36">
        <v>45654</v>
      </c>
      <c r="B100" s="37" t="s">
        <v>81</v>
      </c>
      <c r="C100" s="25" t="str">
        <f>IF(B100="","",IFERROR(VLOOKUP(B100,FLOTA!$A:$D,4,0)&amp;" — "&amp;VLOOKUP(B100,FLOTA!$A:$D,3,0),IFERROR(VLOOKUP(B100,'FLOTA TERCEROS'!$A:$D,4,0)&amp;" — "&amp;VLOOKUP(B100,'FLOTA TERCEROS'!$A:$D,3,0),"⚠ No encontrado")))</f>
        <v>RANGER — FORD</v>
      </c>
      <c r="D100" s="38">
        <v>60</v>
      </c>
      <c r="E100" s="39" t="s">
        <v>107</v>
      </c>
      <c r="F100" s="28" t="s">
        <v>118</v>
      </c>
      <c r="G100" s="40"/>
    </row>
    <row r="101" spans="1:7" ht="18" customHeight="1">
      <c r="A101" s="36">
        <v>45659</v>
      </c>
      <c r="B101" s="37" t="s">
        <v>92</v>
      </c>
      <c r="C101" s="25" t="str">
        <f>IF(B101="","",IFERROR(VLOOKUP(B101,FLOTA!$A:$D,4,0)&amp;" — "&amp;VLOOKUP(B101,FLOTA!$A:$D,3,0),IFERROR(VLOOKUP(B101,'FLOTA TERCEROS'!$A:$D,4,0)&amp;" — "&amp;VLOOKUP(B101,'FLOTA TERCEROS'!$A:$D,3,0),"⚠ No encontrado")))</f>
        <v>→ completar — MERCEDES BENZ</v>
      </c>
      <c r="D101" s="38">
        <v>51</v>
      </c>
      <c r="E101" s="39" t="s">
        <v>107</v>
      </c>
      <c r="F101" s="28" t="s">
        <v>111</v>
      </c>
      <c r="G101" s="40"/>
    </row>
    <row r="102" spans="1:7" ht="18" customHeight="1">
      <c r="A102" s="36">
        <v>45660</v>
      </c>
      <c r="B102" s="37" t="s">
        <v>81</v>
      </c>
      <c r="C102" s="25" t="str">
        <f>IF(B102="","",IFERROR(VLOOKUP(B102,FLOTA!$A:$D,4,0)&amp;" — "&amp;VLOOKUP(B102,FLOTA!$A:$D,3,0),IFERROR(VLOOKUP(B102,'FLOTA TERCEROS'!$A:$D,4,0)&amp;" — "&amp;VLOOKUP(B102,'FLOTA TERCEROS'!$A:$D,3,0),"⚠ No encontrado")))</f>
        <v>RANGER — FORD</v>
      </c>
      <c r="D102" s="38">
        <v>70</v>
      </c>
      <c r="E102" s="39" t="s">
        <v>107</v>
      </c>
      <c r="F102" s="28" t="s">
        <v>108</v>
      </c>
      <c r="G102" s="40"/>
    </row>
    <row r="103" spans="1:7" ht="18" customHeight="1">
      <c r="A103" s="36">
        <v>45661</v>
      </c>
      <c r="B103" s="37" t="s">
        <v>43</v>
      </c>
      <c r="C103" s="25" t="str">
        <f>IF(B103="","",IFERROR(VLOOKUP(B103,FLOTA!$A:$D,4,0)&amp;" — "&amp;VLOOKUP(B103,FLOTA!$A:$D,3,0),IFERROR(VLOOKUP(B103,'FLOTA TERCEROS'!$A:$D,4,0)&amp;" — "&amp;VLOOKUP(B103,'FLOTA TERCEROS'!$A:$D,3,0),"⚠ No encontrado")))</f>
        <v>AMAROK CS 2.0 140CV — VOLKSWAGEN</v>
      </c>
      <c r="D103" s="38">
        <v>50</v>
      </c>
      <c r="E103" s="39" t="s">
        <v>107</v>
      </c>
      <c r="F103" s="28" t="s">
        <v>115</v>
      </c>
      <c r="G103" s="40"/>
    </row>
    <row r="104" spans="1:7" ht="18" customHeight="1">
      <c r="A104" s="36">
        <v>45663</v>
      </c>
      <c r="B104" s="37" t="s">
        <v>66</v>
      </c>
      <c r="C104" s="25" t="str">
        <f>IF(B104="","",IFERROR(VLOOKUP(B104,FLOTA!$A:$D,4,0)&amp;" — "&amp;VLOOKUP(B104,FLOTA!$A:$D,3,0),IFERROR(VLOOKUP(B104,'FLOTA TERCEROS'!$A:$D,4,0)&amp;" — "&amp;VLOOKUP(B104,'FLOTA TERCEROS'!$A:$D,3,0),"⚠ No encontrado")))</f>
        <v>SPRINTER 515 CDIC — MERCEDES BENZ</v>
      </c>
      <c r="D104" s="38">
        <v>50</v>
      </c>
      <c r="E104" s="39" t="s">
        <v>107</v>
      </c>
      <c r="F104" s="28" t="s">
        <v>119</v>
      </c>
      <c r="G104" s="40"/>
    </row>
    <row r="105" spans="1:7" ht="18" customHeight="1">
      <c r="A105" s="36">
        <v>45663</v>
      </c>
      <c r="B105" s="37" t="s">
        <v>58</v>
      </c>
      <c r="C105" s="25" t="str">
        <f>IF(B105="","",IFERROR(VLOOKUP(B105,FLOTA!$A:$D,4,0)&amp;" — "&amp;VLOOKUP(B105,FLOTA!$A:$D,3,0),IFERROR(VLOOKUP(B105,'FLOTA TERCEROS'!$A:$D,4,0)&amp;" — "&amp;VLOOKUP(B105,'FLOTA TERCEROS'!$A:$D,3,0),"⚠ No encontrado")))</f>
        <v>SPRINTER 515 CDIC — MERCEDES BENZ</v>
      </c>
      <c r="D105" s="38">
        <v>60</v>
      </c>
      <c r="E105" s="39" t="s">
        <v>107</v>
      </c>
      <c r="F105" s="28" t="s">
        <v>113</v>
      </c>
      <c r="G105" s="40"/>
    </row>
    <row r="106" spans="1:7" ht="18" customHeight="1">
      <c r="A106" s="36">
        <v>45663</v>
      </c>
      <c r="B106" s="37" t="s">
        <v>92</v>
      </c>
      <c r="C106" s="25" t="str">
        <f>IF(B106="","",IFERROR(VLOOKUP(B106,FLOTA!$A:$D,4,0)&amp;" — "&amp;VLOOKUP(B106,FLOTA!$A:$D,3,0),IFERROR(VLOOKUP(B106,'FLOTA TERCEROS'!$A:$D,4,0)&amp;" — "&amp;VLOOKUP(B106,'FLOTA TERCEROS'!$A:$D,3,0),"⚠ No encontrado")))</f>
        <v>→ completar — MERCEDES BENZ</v>
      </c>
      <c r="D106" s="38">
        <v>60</v>
      </c>
      <c r="E106" s="39" t="s">
        <v>107</v>
      </c>
      <c r="F106" s="28" t="s">
        <v>111</v>
      </c>
      <c r="G106" s="40"/>
    </row>
    <row r="107" spans="1:7" ht="18" customHeight="1">
      <c r="A107" s="36">
        <v>45665</v>
      </c>
      <c r="B107" s="37" t="s">
        <v>43</v>
      </c>
      <c r="C107" s="25" t="str">
        <f>IF(B107="","",IFERROR(VLOOKUP(B107,FLOTA!$A:$D,4,0)&amp;" — "&amp;VLOOKUP(B107,FLOTA!$A:$D,3,0),IFERROR(VLOOKUP(B107,'FLOTA TERCEROS'!$A:$D,4,0)&amp;" — "&amp;VLOOKUP(B107,'FLOTA TERCEROS'!$A:$D,3,0),"⚠ No encontrado")))</f>
        <v>AMAROK CS 2.0 140CV — VOLKSWAGEN</v>
      </c>
      <c r="D107" s="38">
        <v>60</v>
      </c>
      <c r="E107" s="39" t="s">
        <v>107</v>
      </c>
      <c r="F107" s="28" t="s">
        <v>108</v>
      </c>
      <c r="G107" s="40"/>
    </row>
    <row r="108" spans="1:7" ht="18" customHeight="1">
      <c r="A108" s="36">
        <v>45665</v>
      </c>
      <c r="B108" s="37" t="s">
        <v>81</v>
      </c>
      <c r="C108" s="25" t="str">
        <f>IF(B108="","",IFERROR(VLOOKUP(B108,FLOTA!$A:$D,4,0)&amp;" — "&amp;VLOOKUP(B108,FLOTA!$A:$D,3,0),IFERROR(VLOOKUP(B108,'FLOTA TERCEROS'!$A:$D,4,0)&amp;" — "&amp;VLOOKUP(B108,'FLOTA TERCEROS'!$A:$D,3,0),"⚠ No encontrado")))</f>
        <v>RANGER — FORD</v>
      </c>
      <c r="D108" s="38">
        <v>70</v>
      </c>
      <c r="E108" s="39" t="s">
        <v>107</v>
      </c>
      <c r="F108" s="28" t="s">
        <v>114</v>
      </c>
      <c r="G108" s="40"/>
    </row>
    <row r="109" spans="1:7" ht="18" customHeight="1">
      <c r="A109" s="36">
        <v>45665</v>
      </c>
      <c r="B109" s="37" t="s">
        <v>86</v>
      </c>
      <c r="C109" s="25" t="str">
        <f>IF(B109="","",IFERROR(VLOOKUP(B109,FLOTA!$A:$D,4,0)&amp;" — "&amp;VLOOKUP(B109,FLOTA!$A:$D,3,0),IFERROR(VLOOKUP(B109,'FLOTA TERCEROS'!$A:$D,4,0)&amp;" — "&amp;VLOOKUP(B109,'FLOTA TERCEROS'!$A:$D,3,0),"⚠ No encontrado")))</f>
        <v>RANGER — FORD</v>
      </c>
      <c r="D109" s="38">
        <v>65</v>
      </c>
      <c r="E109" s="39" t="s">
        <v>107</v>
      </c>
      <c r="F109" s="28" t="s">
        <v>118</v>
      </c>
      <c r="G109" s="40"/>
    </row>
    <row r="110" spans="1:7" ht="18" customHeight="1">
      <c r="A110" s="36">
        <v>45666</v>
      </c>
      <c r="B110" s="37" t="s">
        <v>92</v>
      </c>
      <c r="C110" s="25" t="str">
        <f>IF(B110="","",IFERROR(VLOOKUP(B110,FLOTA!$A:$D,4,0)&amp;" — "&amp;VLOOKUP(B110,FLOTA!$A:$D,3,0),IFERROR(VLOOKUP(B110,'FLOTA TERCEROS'!$A:$D,4,0)&amp;" — "&amp;VLOOKUP(B110,'FLOTA TERCEROS'!$A:$D,3,0),"⚠ No encontrado")))</f>
        <v>→ completar — MERCEDES BENZ</v>
      </c>
      <c r="D110" s="38">
        <v>75</v>
      </c>
      <c r="E110" s="39" t="s">
        <v>107</v>
      </c>
      <c r="F110" s="28" t="s">
        <v>111</v>
      </c>
      <c r="G110" s="40"/>
    </row>
    <row r="111" spans="1:7" ht="18" customHeight="1">
      <c r="A111" s="36">
        <v>45666</v>
      </c>
      <c r="B111" s="37" t="s">
        <v>58</v>
      </c>
      <c r="C111" s="25" t="str">
        <f>IF(B111="","",IFERROR(VLOOKUP(B111,FLOTA!$A:$D,4,0)&amp;" — "&amp;VLOOKUP(B111,FLOTA!$A:$D,3,0),IFERROR(VLOOKUP(B111,'FLOTA TERCEROS'!$A:$D,4,0)&amp;" — "&amp;VLOOKUP(B111,'FLOTA TERCEROS'!$A:$D,3,0),"⚠ No encontrado")))</f>
        <v>SPRINTER 515 CDIC — MERCEDES BENZ</v>
      </c>
      <c r="D111" s="38">
        <v>60</v>
      </c>
      <c r="E111" s="39" t="s">
        <v>107</v>
      </c>
      <c r="F111" s="28" t="s">
        <v>113</v>
      </c>
      <c r="G111" s="40"/>
    </row>
    <row r="112" spans="1:7" ht="18" customHeight="1">
      <c r="A112" s="36">
        <v>45666</v>
      </c>
      <c r="B112" s="37" t="s">
        <v>36</v>
      </c>
      <c r="C112" s="25" t="str">
        <f>IF(B112="","",IFERROR(VLOOKUP(B112,FLOTA!$A:$D,4,0)&amp;" — "&amp;VLOOKUP(B112,FLOTA!$A:$D,3,0),IFERROR(VLOOKUP(B112,'FLOTA TERCEROS'!$A:$D,4,0)&amp;" — "&amp;VLOOKUP(B112,'FLOTA TERCEROS'!$A:$D,3,0),"⚠ No encontrado")))</f>
        <v>HILUX 4X2 CD SRV 3.0 — TOYOTA</v>
      </c>
      <c r="D112" s="38">
        <v>75</v>
      </c>
      <c r="E112" s="39" t="s">
        <v>107</v>
      </c>
      <c r="F112" s="28" t="s">
        <v>110</v>
      </c>
      <c r="G112" s="40"/>
    </row>
    <row r="113" spans="1:7" ht="18" customHeight="1">
      <c r="A113" s="36">
        <v>45666</v>
      </c>
      <c r="B113" s="37" t="s">
        <v>43</v>
      </c>
      <c r="C113" s="25" t="str">
        <f>IF(B113="","",IFERROR(VLOOKUP(B113,FLOTA!$A:$D,4,0)&amp;" — "&amp;VLOOKUP(B113,FLOTA!$A:$D,3,0),IFERROR(VLOOKUP(B113,'FLOTA TERCEROS'!$A:$D,4,0)&amp;" — "&amp;VLOOKUP(B113,'FLOTA TERCEROS'!$A:$D,3,0),"⚠ No encontrado")))</f>
        <v>AMAROK CS 2.0 140CV — VOLKSWAGEN</v>
      </c>
      <c r="D113" s="38">
        <v>50</v>
      </c>
      <c r="E113" s="39" t="s">
        <v>107</v>
      </c>
      <c r="F113" s="28" t="s">
        <v>115</v>
      </c>
      <c r="G113" s="40"/>
    </row>
    <row r="114" spans="1:7" ht="18" customHeight="1">
      <c r="A114" s="36">
        <v>45667</v>
      </c>
      <c r="B114" s="37" t="s">
        <v>66</v>
      </c>
      <c r="C114" s="25" t="str">
        <f>IF(B114="","",IFERROR(VLOOKUP(B114,FLOTA!$A:$D,4,0)&amp;" — "&amp;VLOOKUP(B114,FLOTA!$A:$D,3,0),IFERROR(VLOOKUP(B114,'FLOTA TERCEROS'!$A:$D,4,0)&amp;" — "&amp;VLOOKUP(B114,'FLOTA TERCEROS'!$A:$D,3,0),"⚠ No encontrado")))</f>
        <v>SPRINTER 515 CDIC — MERCEDES BENZ</v>
      </c>
      <c r="D114" s="38">
        <v>60</v>
      </c>
      <c r="E114" s="39" t="s">
        <v>107</v>
      </c>
      <c r="F114" s="28" t="s">
        <v>119</v>
      </c>
      <c r="G114" s="40"/>
    </row>
    <row r="115" spans="1:7" ht="18" customHeight="1">
      <c r="A115" s="36">
        <v>45668</v>
      </c>
      <c r="B115" s="37" t="s">
        <v>86</v>
      </c>
      <c r="C115" s="25" t="str">
        <f>IF(B115="","",IFERROR(VLOOKUP(B115,FLOTA!$A:$D,4,0)&amp;" — "&amp;VLOOKUP(B115,FLOTA!$A:$D,3,0),IFERROR(VLOOKUP(B115,'FLOTA TERCEROS'!$A:$D,4,0)&amp;" — "&amp;VLOOKUP(B115,'FLOTA TERCEROS'!$A:$D,3,0),"⚠ No encontrado")))</f>
        <v>RANGER — FORD</v>
      </c>
      <c r="D115" s="38">
        <v>60</v>
      </c>
      <c r="E115" s="39" t="s">
        <v>107</v>
      </c>
      <c r="F115" s="28" t="s">
        <v>118</v>
      </c>
      <c r="G115" s="40"/>
    </row>
    <row r="116" spans="1:7" ht="18" customHeight="1">
      <c r="A116" s="36">
        <v>45670</v>
      </c>
      <c r="B116" s="37" t="s">
        <v>43</v>
      </c>
      <c r="C116" s="25" t="str">
        <f>IF(B116="","",IFERROR(VLOOKUP(B116,FLOTA!$A:$D,4,0)&amp;" — "&amp;VLOOKUP(B116,FLOTA!$A:$D,3,0),IFERROR(VLOOKUP(B116,'FLOTA TERCEROS'!$A:$D,4,0)&amp;" — "&amp;VLOOKUP(B116,'FLOTA TERCEROS'!$A:$D,3,0),"⚠ No encontrado")))</f>
        <v>AMAROK CS 2.0 140CV — VOLKSWAGEN</v>
      </c>
      <c r="D116" s="38">
        <v>75</v>
      </c>
      <c r="E116" s="39" t="s">
        <v>107</v>
      </c>
      <c r="F116" s="28" t="s">
        <v>120</v>
      </c>
      <c r="G116" s="40"/>
    </row>
    <row r="117" spans="1:7" ht="18" customHeight="1">
      <c r="A117" s="36">
        <v>45671</v>
      </c>
      <c r="B117" s="37" t="s">
        <v>49</v>
      </c>
      <c r="C117" s="25" t="str">
        <f>IF(B117="","",IFERROR(VLOOKUP(B117,FLOTA!$A:$D,4,0)&amp;" — "&amp;VLOOKUP(B117,FLOTA!$A:$D,3,0),IFERROR(VLOOKUP(B117,'FLOTA TERCEROS'!$A:$D,4,0)&amp;" — "&amp;VLOOKUP(B117,'FLOTA TERCEROS'!$A:$D,3,0),"⚠ No encontrado")))</f>
        <v>AMAROK CD 2.0 4X4 180CV — VOLKSWAGEN</v>
      </c>
      <c r="D117" s="38">
        <v>50</v>
      </c>
      <c r="E117" s="39" t="s">
        <v>107</v>
      </c>
      <c r="F117" s="28" t="s">
        <v>108</v>
      </c>
      <c r="G117" s="40"/>
    </row>
    <row r="118" spans="1:7" ht="18" customHeight="1">
      <c r="A118" s="36">
        <v>45671</v>
      </c>
      <c r="B118" s="37" t="s">
        <v>58</v>
      </c>
      <c r="C118" s="25" t="str">
        <f>IF(B118="","",IFERROR(VLOOKUP(B118,FLOTA!$A:$D,4,0)&amp;" — "&amp;VLOOKUP(B118,FLOTA!$A:$D,3,0),IFERROR(VLOOKUP(B118,'FLOTA TERCEROS'!$A:$D,4,0)&amp;" — "&amp;VLOOKUP(B118,'FLOTA TERCEROS'!$A:$D,3,0),"⚠ No encontrado")))</f>
        <v>SPRINTER 515 CDIC — MERCEDES BENZ</v>
      </c>
      <c r="D118" s="38">
        <v>60</v>
      </c>
      <c r="E118" s="39" t="s">
        <v>107</v>
      </c>
      <c r="F118" s="28" t="s">
        <v>113</v>
      </c>
      <c r="G118" s="40"/>
    </row>
    <row r="119" spans="1:7" ht="18" customHeight="1">
      <c r="A119" s="36">
        <v>45672</v>
      </c>
      <c r="B119" s="37" t="s">
        <v>66</v>
      </c>
      <c r="C119" s="25" t="str">
        <f>IF(B119="","",IFERROR(VLOOKUP(B119,FLOTA!$A:$D,4,0)&amp;" — "&amp;VLOOKUP(B119,FLOTA!$A:$D,3,0),IFERROR(VLOOKUP(B119,'FLOTA TERCEROS'!$A:$D,4,0)&amp;" — "&amp;VLOOKUP(B119,'FLOTA TERCEROS'!$A:$D,3,0),"⚠ No encontrado")))</f>
        <v>SPRINTER 515 CDIC — MERCEDES BENZ</v>
      </c>
      <c r="D119" s="38">
        <v>50</v>
      </c>
      <c r="E119" s="39" t="s">
        <v>107</v>
      </c>
      <c r="F119" s="28" t="s">
        <v>119</v>
      </c>
      <c r="G119" s="40"/>
    </row>
    <row r="120" spans="1:7" ht="18" customHeight="1">
      <c r="A120" s="36">
        <v>45672</v>
      </c>
      <c r="B120" s="37" t="s">
        <v>92</v>
      </c>
      <c r="C120" s="25" t="str">
        <f>IF(B120="","",IFERROR(VLOOKUP(B120,FLOTA!$A:$D,4,0)&amp;" — "&amp;VLOOKUP(B120,FLOTA!$A:$D,3,0),IFERROR(VLOOKUP(B120,'FLOTA TERCEROS'!$A:$D,4,0)&amp;" — "&amp;VLOOKUP(B120,'FLOTA TERCEROS'!$A:$D,3,0),"⚠ No encontrado")))</f>
        <v>→ completar — MERCEDES BENZ</v>
      </c>
      <c r="D120" s="38">
        <v>45</v>
      </c>
      <c r="E120" s="39" t="s">
        <v>107</v>
      </c>
      <c r="F120" s="28" t="s">
        <v>111</v>
      </c>
      <c r="G120" s="40"/>
    </row>
    <row r="121" spans="1:7" ht="18" customHeight="1">
      <c r="A121" s="36">
        <v>45672</v>
      </c>
      <c r="B121" s="37" t="s">
        <v>81</v>
      </c>
      <c r="C121" s="25" t="str">
        <f>IF(B121="","",IFERROR(VLOOKUP(B121,FLOTA!$A:$D,4,0)&amp;" — "&amp;VLOOKUP(B121,FLOTA!$A:$D,3,0),IFERROR(VLOOKUP(B121,'FLOTA TERCEROS'!$A:$D,4,0)&amp;" — "&amp;VLOOKUP(B121,'FLOTA TERCEROS'!$A:$D,3,0),"⚠ No encontrado")))</f>
        <v>RANGER — FORD</v>
      </c>
      <c r="D121" s="38">
        <v>60</v>
      </c>
      <c r="E121" s="39" t="s">
        <v>107</v>
      </c>
      <c r="F121" s="28" t="s">
        <v>114</v>
      </c>
      <c r="G121" s="40"/>
    </row>
    <row r="122" spans="1:7" ht="18" customHeight="1">
      <c r="A122" s="36">
        <v>45673</v>
      </c>
      <c r="B122" s="37" t="s">
        <v>24</v>
      </c>
      <c r="C122" s="25" t="str">
        <f>IF(B122="","",IFERROR(VLOOKUP(B122,FLOTA!$A:$D,4,0)&amp;" — "&amp;VLOOKUP(B122,FLOTA!$A:$D,3,0),IFERROR(VLOOKUP(B122,'FLOTA TERCEROS'!$A:$D,4,0)&amp;" — "&amp;VLOOKUP(B122,'FLOTA TERCEROS'!$A:$D,3,0),"⚠ No encontrado")))</f>
        <v>RANGER 2 CD 4X4 XLS 3.2L — FORD</v>
      </c>
      <c r="D122" s="38">
        <v>80</v>
      </c>
      <c r="E122" s="39" t="s">
        <v>107</v>
      </c>
      <c r="F122" s="28" t="s">
        <v>108</v>
      </c>
      <c r="G122" s="40"/>
    </row>
    <row r="123" spans="1:7" ht="18" customHeight="1">
      <c r="A123" s="36">
        <v>45675</v>
      </c>
      <c r="B123" s="37" t="s">
        <v>86</v>
      </c>
      <c r="C123" s="25" t="str">
        <f>IF(B123="","",IFERROR(VLOOKUP(B123,FLOTA!$A:$D,4,0)&amp;" — "&amp;VLOOKUP(B123,FLOTA!$A:$D,3,0),IFERROR(VLOOKUP(B123,'FLOTA TERCEROS'!$A:$D,4,0)&amp;" — "&amp;VLOOKUP(B123,'FLOTA TERCEROS'!$A:$D,3,0),"⚠ No encontrado")))</f>
        <v>RANGER — FORD</v>
      </c>
      <c r="D123" s="38">
        <v>70</v>
      </c>
      <c r="E123" s="39" t="s">
        <v>107</v>
      </c>
      <c r="F123" s="28" t="s">
        <v>118</v>
      </c>
      <c r="G123" s="40"/>
    </row>
    <row r="124" spans="1:7" ht="18" customHeight="1">
      <c r="A124" s="36">
        <v>45675</v>
      </c>
      <c r="B124" s="37" t="s">
        <v>49</v>
      </c>
      <c r="C124" s="25" t="str">
        <f>IF(B124="","",IFERROR(VLOOKUP(B124,FLOTA!$A:$D,4,0)&amp;" — "&amp;VLOOKUP(B124,FLOTA!$A:$D,3,0),IFERROR(VLOOKUP(B124,'FLOTA TERCEROS'!$A:$D,4,0)&amp;" — "&amp;VLOOKUP(B124,'FLOTA TERCEROS'!$A:$D,3,0),"⚠ No encontrado")))</f>
        <v>AMAROK CD 2.0 4X4 180CV — VOLKSWAGEN</v>
      </c>
      <c r="D124" s="38">
        <v>65</v>
      </c>
      <c r="E124" s="39" t="s">
        <v>107</v>
      </c>
      <c r="F124" s="28" t="s">
        <v>110</v>
      </c>
      <c r="G124" s="40"/>
    </row>
    <row r="125" spans="1:7" ht="18" customHeight="1">
      <c r="A125" s="36">
        <v>45677</v>
      </c>
      <c r="B125" s="37" t="s">
        <v>66</v>
      </c>
      <c r="C125" s="25" t="str">
        <f>IF(B125="","",IFERROR(VLOOKUP(B125,FLOTA!$A:$D,4,0)&amp;" — "&amp;VLOOKUP(B125,FLOTA!$A:$D,3,0),IFERROR(VLOOKUP(B125,'FLOTA TERCEROS'!$A:$D,4,0)&amp;" — "&amp;VLOOKUP(B125,'FLOTA TERCEROS'!$A:$D,3,0),"⚠ No encontrado")))</f>
        <v>SPRINTER 515 CDIC — MERCEDES BENZ</v>
      </c>
      <c r="D125" s="38">
        <v>60</v>
      </c>
      <c r="E125" s="39" t="s">
        <v>107</v>
      </c>
      <c r="F125" s="28" t="s">
        <v>119</v>
      </c>
      <c r="G125" s="40"/>
    </row>
    <row r="126" spans="1:7" ht="18" customHeight="1">
      <c r="A126" s="36">
        <v>45677</v>
      </c>
      <c r="B126" s="37" t="s">
        <v>58</v>
      </c>
      <c r="C126" s="25" t="str">
        <f>IF(B126="","",IFERROR(VLOOKUP(B126,FLOTA!$A:$D,4,0)&amp;" — "&amp;VLOOKUP(B126,FLOTA!$A:$D,3,0),IFERROR(VLOOKUP(B126,'FLOTA TERCEROS'!$A:$D,4,0)&amp;" — "&amp;VLOOKUP(B126,'FLOTA TERCEROS'!$A:$D,3,0),"⚠ No encontrado")))</f>
        <v>SPRINTER 515 CDIC — MERCEDES BENZ</v>
      </c>
      <c r="D126" s="38">
        <v>68</v>
      </c>
      <c r="E126" s="39" t="s">
        <v>107</v>
      </c>
      <c r="F126" s="28" t="s">
        <v>113</v>
      </c>
      <c r="G126" s="40"/>
    </row>
    <row r="127" spans="1:7" ht="18" customHeight="1">
      <c r="A127" s="36">
        <v>45688</v>
      </c>
      <c r="B127" s="37" t="s">
        <v>81</v>
      </c>
      <c r="C127" s="25" t="str">
        <f>IF(B127="","",IFERROR(VLOOKUP(B127,FLOTA!$A:$D,4,0)&amp;" — "&amp;VLOOKUP(B127,FLOTA!$A:$D,3,0),IFERROR(VLOOKUP(B127,'FLOTA TERCEROS'!$A:$D,4,0)&amp;" — "&amp;VLOOKUP(B127,'FLOTA TERCEROS'!$A:$D,3,0),"⚠ No encontrado")))</f>
        <v>RANGER — FORD</v>
      </c>
      <c r="D127" s="38">
        <v>70</v>
      </c>
      <c r="E127" s="39" t="s">
        <v>107</v>
      </c>
      <c r="F127" s="28" t="s">
        <v>114</v>
      </c>
      <c r="G127" s="40"/>
    </row>
    <row r="128" spans="1:7" ht="18" customHeight="1">
      <c r="A128" s="36">
        <v>45688</v>
      </c>
      <c r="B128" s="37" t="s">
        <v>92</v>
      </c>
      <c r="C128" s="25" t="str">
        <f>IF(B128="","",IFERROR(VLOOKUP(B128,FLOTA!$A:$D,4,0)&amp;" — "&amp;VLOOKUP(B128,FLOTA!$A:$D,3,0),IFERROR(VLOOKUP(B128,'FLOTA TERCEROS'!$A:$D,4,0)&amp;" — "&amp;VLOOKUP(B128,'FLOTA TERCEROS'!$A:$D,3,0),"⚠ No encontrado")))</f>
        <v>→ completar — MERCEDES BENZ</v>
      </c>
      <c r="D128" s="38">
        <v>70</v>
      </c>
      <c r="E128" s="39" t="s">
        <v>107</v>
      </c>
      <c r="F128" s="28" t="s">
        <v>111</v>
      </c>
      <c r="G128" s="40"/>
    </row>
    <row r="129" spans="1:7" ht="18" customHeight="1">
      <c r="A129" s="36">
        <v>45688</v>
      </c>
      <c r="B129" s="37" t="s">
        <v>58</v>
      </c>
      <c r="C129" s="25" t="str">
        <f>IF(B129="","",IFERROR(VLOOKUP(B129,FLOTA!$A:$D,4,0)&amp;" — "&amp;VLOOKUP(B129,FLOTA!$A:$D,3,0),IFERROR(VLOOKUP(B129,'FLOTA TERCEROS'!$A:$D,4,0)&amp;" — "&amp;VLOOKUP(B129,'FLOTA TERCEROS'!$A:$D,3,0),"⚠ No encontrado")))</f>
        <v>SPRINTER 515 CDIC — MERCEDES BENZ</v>
      </c>
      <c r="D129" s="38">
        <v>70</v>
      </c>
      <c r="E129" s="39" t="s">
        <v>107</v>
      </c>
      <c r="F129" s="28" t="s">
        <v>113</v>
      </c>
      <c r="G129" s="40"/>
    </row>
    <row r="130" spans="1:7" ht="18" customHeight="1">
      <c r="A130" s="36">
        <v>45692</v>
      </c>
      <c r="B130" s="37" t="s">
        <v>49</v>
      </c>
      <c r="C130" s="25" t="str">
        <f>IF(B130="","",IFERROR(VLOOKUP(B130,FLOTA!$A:$D,4,0)&amp;" — "&amp;VLOOKUP(B130,FLOTA!$A:$D,3,0),IFERROR(VLOOKUP(B130,'FLOTA TERCEROS'!$A:$D,4,0)&amp;" — "&amp;VLOOKUP(B130,'FLOTA TERCEROS'!$A:$D,3,0),"⚠ No encontrado")))</f>
        <v>AMAROK CD 2.0 4X4 180CV — VOLKSWAGEN</v>
      </c>
      <c r="D130" s="38">
        <v>70</v>
      </c>
      <c r="E130" s="39" t="s">
        <v>107</v>
      </c>
      <c r="F130" s="28" t="s">
        <v>112</v>
      </c>
      <c r="G130" s="40"/>
    </row>
    <row r="131" spans="1:7" ht="18" customHeight="1">
      <c r="A131" s="36">
        <v>45694</v>
      </c>
      <c r="B131" s="37" t="s">
        <v>66</v>
      </c>
      <c r="C131" s="25" t="str">
        <f>IF(B131="","",IFERROR(VLOOKUP(B131,FLOTA!$A:$D,4,0)&amp;" — "&amp;VLOOKUP(B131,FLOTA!$A:$D,3,0),IFERROR(VLOOKUP(B131,'FLOTA TERCEROS'!$A:$D,4,0)&amp;" — "&amp;VLOOKUP(B131,'FLOTA TERCEROS'!$A:$D,3,0),"⚠ No encontrado")))</f>
        <v>SPRINTER 515 CDIC — MERCEDES BENZ</v>
      </c>
      <c r="D131" s="38">
        <v>60</v>
      </c>
      <c r="E131" s="39" t="s">
        <v>107</v>
      </c>
      <c r="F131" s="28" t="s">
        <v>119</v>
      </c>
      <c r="G131" s="40"/>
    </row>
    <row r="132" spans="1:7" ht="18" customHeight="1">
      <c r="A132" s="36">
        <v>45694</v>
      </c>
      <c r="B132" s="37" t="s">
        <v>36</v>
      </c>
      <c r="C132" s="25" t="str">
        <f>IF(B132="","",IFERROR(VLOOKUP(B132,FLOTA!$A:$D,4,0)&amp;" — "&amp;VLOOKUP(B132,FLOTA!$A:$D,3,0),IFERROR(VLOOKUP(B132,'FLOTA TERCEROS'!$A:$D,4,0)&amp;" — "&amp;VLOOKUP(B132,'FLOTA TERCEROS'!$A:$D,3,0),"⚠ No encontrado")))</f>
        <v>HILUX 4X2 CD SRV 3.0 — TOYOTA</v>
      </c>
      <c r="D132" s="38">
        <v>50</v>
      </c>
      <c r="E132" s="39" t="s">
        <v>107</v>
      </c>
      <c r="F132" s="28" t="s">
        <v>110</v>
      </c>
      <c r="G132" s="40"/>
    </row>
    <row r="133" spans="1:7" ht="18" customHeight="1">
      <c r="A133" s="36">
        <v>45694</v>
      </c>
      <c r="B133" s="37" t="s">
        <v>58</v>
      </c>
      <c r="C133" s="25" t="str">
        <f>IF(B133="","",IFERROR(VLOOKUP(B133,FLOTA!$A:$D,4,0)&amp;" — "&amp;VLOOKUP(B133,FLOTA!$A:$D,3,0),IFERROR(VLOOKUP(B133,'FLOTA TERCEROS'!$A:$D,4,0)&amp;" — "&amp;VLOOKUP(B133,'FLOTA TERCEROS'!$A:$D,3,0),"⚠ No encontrado")))</f>
        <v>SPRINTER 515 CDIC — MERCEDES BENZ</v>
      </c>
      <c r="D133" s="38">
        <v>60</v>
      </c>
      <c r="E133" s="39" t="s">
        <v>107</v>
      </c>
      <c r="F133" s="28" t="s">
        <v>113</v>
      </c>
      <c r="G133" s="40"/>
    </row>
    <row r="134" spans="1:7" ht="18" customHeight="1">
      <c r="A134" s="36">
        <v>45694</v>
      </c>
      <c r="B134" s="37" t="s">
        <v>70</v>
      </c>
      <c r="C134" s="25" t="str">
        <f>IF(B134="","",IFERROR(VLOOKUP(B134,FLOTA!$A:$D,4,0)&amp;" — "&amp;VLOOKUP(B134,FLOTA!$A:$D,3,0),IFERROR(VLOOKUP(B134,'FLOTA TERCEROS'!$A:$D,4,0)&amp;" — "&amp;VLOOKUP(B134,'FLOTA TERCEROS'!$A:$D,3,0),"⚠ No encontrado")))</f>
        <v>TORO — FIAT</v>
      </c>
      <c r="D134" s="38">
        <v>60</v>
      </c>
      <c r="E134" s="39" t="s">
        <v>107</v>
      </c>
      <c r="F134" s="28" t="s">
        <v>113</v>
      </c>
      <c r="G134" s="40"/>
    </row>
    <row r="135" spans="1:7" ht="18" customHeight="1">
      <c r="A135" s="36">
        <v>45695</v>
      </c>
      <c r="B135" s="37" t="s">
        <v>86</v>
      </c>
      <c r="C135" s="25" t="str">
        <f>IF(B135="","",IFERROR(VLOOKUP(B135,FLOTA!$A:$D,4,0)&amp;" — "&amp;VLOOKUP(B135,FLOTA!$A:$D,3,0),IFERROR(VLOOKUP(B135,'FLOTA TERCEROS'!$A:$D,4,0)&amp;" — "&amp;VLOOKUP(B135,'FLOTA TERCEROS'!$A:$D,3,0),"⚠ No encontrado")))</f>
        <v>RANGER — FORD</v>
      </c>
      <c r="D135" s="38">
        <v>80</v>
      </c>
      <c r="E135" s="39" t="s">
        <v>107</v>
      </c>
      <c r="F135" s="28" t="s">
        <v>116</v>
      </c>
      <c r="G135" s="40"/>
    </row>
    <row r="136" spans="1:7" ht="18" customHeight="1">
      <c r="A136" s="36">
        <v>45696</v>
      </c>
      <c r="B136" s="37" t="s">
        <v>70</v>
      </c>
      <c r="C136" s="25" t="str">
        <f>IF(B136="","",IFERROR(VLOOKUP(B136,FLOTA!$A:$D,4,0)&amp;" — "&amp;VLOOKUP(B136,FLOTA!$A:$D,3,0),IFERROR(VLOOKUP(B136,'FLOTA TERCEROS'!$A:$D,4,0)&amp;" — "&amp;VLOOKUP(B136,'FLOTA TERCEROS'!$A:$D,3,0),"⚠ No encontrado")))</f>
        <v>TORO — FIAT</v>
      </c>
      <c r="D136" s="38">
        <v>50</v>
      </c>
      <c r="E136" s="39" t="s">
        <v>107</v>
      </c>
      <c r="F136" s="28" t="s">
        <v>113</v>
      </c>
      <c r="G136" s="40"/>
    </row>
    <row r="137" spans="1:7" ht="18" customHeight="1">
      <c r="A137" s="36">
        <v>45696</v>
      </c>
      <c r="B137" s="37" t="s">
        <v>43</v>
      </c>
      <c r="C137" s="25" t="str">
        <f>IF(B137="","",IFERROR(VLOOKUP(B137,FLOTA!$A:$D,4,0)&amp;" — "&amp;VLOOKUP(B137,FLOTA!$A:$D,3,0),IFERROR(VLOOKUP(B137,'FLOTA TERCEROS'!$A:$D,4,0)&amp;" — "&amp;VLOOKUP(B137,'FLOTA TERCEROS'!$A:$D,3,0),"⚠ No encontrado")))</f>
        <v>AMAROK CS 2.0 140CV — VOLKSWAGEN</v>
      </c>
      <c r="D137" s="38">
        <v>40</v>
      </c>
      <c r="E137" s="39" t="s">
        <v>107</v>
      </c>
      <c r="F137" s="28" t="s">
        <v>115</v>
      </c>
      <c r="G137" s="40"/>
    </row>
    <row r="138" spans="1:7" ht="18" customHeight="1">
      <c r="A138" s="36">
        <v>45696</v>
      </c>
      <c r="B138" s="37" t="s">
        <v>58</v>
      </c>
      <c r="C138" s="25" t="str">
        <f>IF(B138="","",IFERROR(VLOOKUP(B138,FLOTA!$A:$D,4,0)&amp;" — "&amp;VLOOKUP(B138,FLOTA!$A:$D,3,0),IFERROR(VLOOKUP(B138,'FLOTA TERCEROS'!$A:$D,4,0)&amp;" — "&amp;VLOOKUP(B138,'FLOTA TERCEROS'!$A:$D,3,0),"⚠ No encontrado")))</f>
        <v>SPRINTER 515 CDIC — MERCEDES BENZ</v>
      </c>
      <c r="D138" s="38">
        <v>45</v>
      </c>
      <c r="E138" s="39" t="s">
        <v>107</v>
      </c>
      <c r="F138" s="28" t="s">
        <v>113</v>
      </c>
      <c r="G138" s="40"/>
    </row>
    <row r="139" spans="1:7" ht="18" customHeight="1">
      <c r="A139" s="36">
        <v>45698</v>
      </c>
      <c r="B139" s="37" t="s">
        <v>24</v>
      </c>
      <c r="C139" s="25" t="str">
        <f>IF(B139="","",IFERROR(VLOOKUP(B139,FLOTA!$A:$D,4,0)&amp;" — "&amp;VLOOKUP(B139,FLOTA!$A:$D,3,0),IFERROR(VLOOKUP(B139,'FLOTA TERCEROS'!$A:$D,4,0)&amp;" — "&amp;VLOOKUP(B139,'FLOTA TERCEROS'!$A:$D,3,0),"⚠ No encontrado")))</f>
        <v>RANGER 2 CD 4X4 XLS 3.2L — FORD</v>
      </c>
      <c r="D139" s="38">
        <v>50</v>
      </c>
      <c r="E139" s="39" t="s">
        <v>107</v>
      </c>
      <c r="F139" s="28" t="s">
        <v>108</v>
      </c>
      <c r="G139" s="40"/>
    </row>
    <row r="140" spans="1:7" ht="18" customHeight="1">
      <c r="A140" s="36">
        <v>45699</v>
      </c>
      <c r="B140" s="37" t="s">
        <v>81</v>
      </c>
      <c r="C140" s="25" t="str">
        <f>IF(B140="","",IFERROR(VLOOKUP(B140,FLOTA!$A:$D,4,0)&amp;" — "&amp;VLOOKUP(B140,FLOTA!$A:$D,3,0),IFERROR(VLOOKUP(B140,'FLOTA TERCEROS'!$A:$D,4,0)&amp;" — "&amp;VLOOKUP(B140,'FLOTA TERCEROS'!$A:$D,3,0),"⚠ No encontrado")))</f>
        <v>RANGER — FORD</v>
      </c>
      <c r="D140" s="38">
        <v>55</v>
      </c>
      <c r="E140" s="39" t="s">
        <v>107</v>
      </c>
      <c r="F140" s="28" t="s">
        <v>114</v>
      </c>
      <c r="G140" s="40"/>
    </row>
    <row r="141" spans="1:7" ht="18" customHeight="1">
      <c r="A141" s="36">
        <v>45699</v>
      </c>
      <c r="B141" s="37" t="s">
        <v>43</v>
      </c>
      <c r="C141" s="25" t="str">
        <f>IF(B141="","",IFERROR(VLOOKUP(B141,FLOTA!$A:$D,4,0)&amp;" — "&amp;VLOOKUP(B141,FLOTA!$A:$D,3,0),IFERROR(VLOOKUP(B141,'FLOTA TERCEROS'!$A:$D,4,0)&amp;" — "&amp;VLOOKUP(B141,'FLOTA TERCEROS'!$A:$D,3,0),"⚠ No encontrado")))</f>
        <v>AMAROK CS 2.0 140CV — VOLKSWAGEN</v>
      </c>
      <c r="D141" s="38">
        <v>70</v>
      </c>
      <c r="E141" s="39" t="s">
        <v>107</v>
      </c>
      <c r="F141" s="28" t="s">
        <v>115</v>
      </c>
      <c r="G141" s="40"/>
    </row>
    <row r="142" spans="1:7" ht="18" customHeight="1">
      <c r="A142" s="36">
        <v>45699</v>
      </c>
      <c r="B142" s="37" t="s">
        <v>92</v>
      </c>
      <c r="C142" s="25" t="str">
        <f>IF(B142="","",IFERROR(VLOOKUP(B142,FLOTA!$A:$D,4,0)&amp;" — "&amp;VLOOKUP(B142,FLOTA!$A:$D,3,0),IFERROR(VLOOKUP(B142,'FLOTA TERCEROS'!$A:$D,4,0)&amp;" — "&amp;VLOOKUP(B142,'FLOTA TERCEROS'!$A:$D,3,0),"⚠ No encontrado")))</f>
        <v>→ completar — MERCEDES BENZ</v>
      </c>
      <c r="D142" s="38">
        <v>70</v>
      </c>
      <c r="E142" s="39" t="s">
        <v>107</v>
      </c>
      <c r="F142" s="28" t="s">
        <v>111</v>
      </c>
      <c r="G142" s="40"/>
    </row>
    <row r="143" spans="1:7" ht="18" customHeight="1">
      <c r="A143" s="36">
        <v>45699</v>
      </c>
      <c r="B143" s="37" t="s">
        <v>36</v>
      </c>
      <c r="C143" s="25" t="str">
        <f>IF(B143="","",IFERROR(VLOOKUP(B143,FLOTA!$A:$D,4,0)&amp;" — "&amp;VLOOKUP(B143,FLOTA!$A:$D,3,0),IFERROR(VLOOKUP(B143,'FLOTA TERCEROS'!$A:$D,4,0)&amp;" — "&amp;VLOOKUP(B143,'FLOTA TERCEROS'!$A:$D,3,0),"⚠ No encontrado")))</f>
        <v>HILUX 4X2 CD SRV 3.0 — TOYOTA</v>
      </c>
      <c r="D143" s="38">
        <v>40</v>
      </c>
      <c r="E143" s="39" t="s">
        <v>107</v>
      </c>
      <c r="F143" s="28" t="s">
        <v>110</v>
      </c>
      <c r="G143" s="40"/>
    </row>
    <row r="144" spans="1:7" ht="18" customHeight="1">
      <c r="A144" s="36">
        <v>45700</v>
      </c>
      <c r="B144" s="37" t="s">
        <v>58</v>
      </c>
      <c r="C144" s="25" t="str">
        <f>IF(B144="","",IFERROR(VLOOKUP(B144,FLOTA!$A:$D,4,0)&amp;" — "&amp;VLOOKUP(B144,FLOTA!$A:$D,3,0),IFERROR(VLOOKUP(B144,'FLOTA TERCEROS'!$A:$D,4,0)&amp;" — "&amp;VLOOKUP(B144,'FLOTA TERCEROS'!$A:$D,3,0),"⚠ No encontrado")))</f>
        <v>SPRINTER 515 CDIC — MERCEDES BENZ</v>
      </c>
      <c r="D144" s="38">
        <v>67</v>
      </c>
      <c r="E144" s="39" t="s">
        <v>107</v>
      </c>
      <c r="F144" s="28" t="s">
        <v>119</v>
      </c>
      <c r="G144" s="40"/>
    </row>
    <row r="145" spans="1:7" ht="18" customHeight="1">
      <c r="A145" s="36">
        <v>45700</v>
      </c>
      <c r="B145" s="37" t="s">
        <v>49</v>
      </c>
      <c r="C145" s="25" t="str">
        <f>IF(B145="","",IFERROR(VLOOKUP(B145,FLOTA!$A:$D,4,0)&amp;" — "&amp;VLOOKUP(B145,FLOTA!$A:$D,3,0),IFERROR(VLOOKUP(B145,'FLOTA TERCEROS'!$A:$D,4,0)&amp;" — "&amp;VLOOKUP(B145,'FLOTA TERCEROS'!$A:$D,3,0),"⚠ No encontrado")))</f>
        <v>AMAROK CD 2.0 4X4 180CV — VOLKSWAGEN</v>
      </c>
      <c r="D145" s="38">
        <v>60</v>
      </c>
      <c r="E145" s="39" t="s">
        <v>107</v>
      </c>
      <c r="F145" s="28" t="s">
        <v>112</v>
      </c>
      <c r="G145" s="40" t="s">
        <v>128</v>
      </c>
    </row>
    <row r="146" spans="1:7" ht="18" customHeight="1">
      <c r="A146" s="36">
        <v>45700</v>
      </c>
      <c r="B146" s="37" t="s">
        <v>36</v>
      </c>
      <c r="C146" s="25" t="str">
        <f>IF(B146="","",IFERROR(VLOOKUP(B146,FLOTA!$A:$D,4,0)&amp;" — "&amp;VLOOKUP(B146,FLOTA!$A:$D,3,0),IFERROR(VLOOKUP(B146,'FLOTA TERCEROS'!$A:$D,4,0)&amp;" — "&amp;VLOOKUP(B146,'FLOTA TERCEROS'!$A:$D,3,0),"⚠ No encontrado")))</f>
        <v>HILUX 4X2 CD SRV 3.0 — TOYOTA</v>
      </c>
      <c r="D146" s="38">
        <v>60</v>
      </c>
      <c r="E146" s="39" t="s">
        <v>107</v>
      </c>
      <c r="F146" s="28" t="s">
        <v>110</v>
      </c>
      <c r="G146" s="40"/>
    </row>
    <row r="147" spans="1:7" ht="18" customHeight="1">
      <c r="A147" s="36">
        <v>45700</v>
      </c>
      <c r="B147" s="37" t="s">
        <v>53</v>
      </c>
      <c r="C147" s="25" t="str">
        <f>IF(B147="","",IFERROR(VLOOKUP(B147,FLOTA!$A:$D,4,0)&amp;" — "&amp;VLOOKUP(B147,FLOTA!$A:$D,3,0),IFERROR(VLOOKUP(B147,'FLOTA TERCEROS'!$A:$D,4,0)&amp;" — "&amp;VLOOKUP(B147,'FLOTA TERCEROS'!$A:$D,3,0),"⚠ No encontrado")))</f>
        <v>AMAROK DC 2.0L TDI 180CV 4X4 — VOLKSWAGEN</v>
      </c>
      <c r="D147" s="38">
        <v>70</v>
      </c>
      <c r="E147" s="39" t="s">
        <v>107</v>
      </c>
      <c r="F147" s="28" t="s">
        <v>121</v>
      </c>
      <c r="G147" s="40" t="s">
        <v>128</v>
      </c>
    </row>
    <row r="148" spans="1:7" ht="18" customHeight="1">
      <c r="A148" s="36">
        <v>45700</v>
      </c>
      <c r="B148" s="37" t="s">
        <v>58</v>
      </c>
      <c r="C148" s="25" t="str">
        <f>IF(B148="","",IFERROR(VLOOKUP(B148,FLOTA!$A:$D,4,0)&amp;" — "&amp;VLOOKUP(B148,FLOTA!$A:$D,3,0),IFERROR(VLOOKUP(B148,'FLOTA TERCEROS'!$A:$D,4,0)&amp;" — "&amp;VLOOKUP(B148,'FLOTA TERCEROS'!$A:$D,3,0),"⚠ No encontrado")))</f>
        <v>SPRINTER 515 CDIC — MERCEDES BENZ</v>
      </c>
      <c r="D148" s="38">
        <v>60</v>
      </c>
      <c r="E148" s="39" t="s">
        <v>107</v>
      </c>
      <c r="F148" s="28" t="s">
        <v>119</v>
      </c>
      <c r="G148" s="40"/>
    </row>
    <row r="149" spans="1:7" ht="18" customHeight="1">
      <c r="A149" s="36">
        <v>45703</v>
      </c>
      <c r="B149" s="37" t="s">
        <v>92</v>
      </c>
      <c r="C149" s="25" t="str">
        <f>IF(B149="","",IFERROR(VLOOKUP(B149,FLOTA!$A:$D,4,0)&amp;" — "&amp;VLOOKUP(B149,FLOTA!$A:$D,3,0),IFERROR(VLOOKUP(B149,'FLOTA TERCEROS'!$A:$D,4,0)&amp;" — "&amp;VLOOKUP(B149,'FLOTA TERCEROS'!$A:$D,3,0),"⚠ No encontrado")))</f>
        <v>→ completar — MERCEDES BENZ</v>
      </c>
      <c r="D149" s="38">
        <v>30</v>
      </c>
      <c r="E149" s="39" t="s">
        <v>107</v>
      </c>
      <c r="F149" s="28" t="s">
        <v>111</v>
      </c>
      <c r="G149" s="40"/>
    </row>
    <row r="150" spans="1:7" ht="18" customHeight="1">
      <c r="A150" s="36">
        <v>45703</v>
      </c>
      <c r="B150" s="37" t="s">
        <v>49</v>
      </c>
      <c r="C150" s="25" t="str">
        <f>IF(B150="","",IFERROR(VLOOKUP(B150,FLOTA!$A:$D,4,0)&amp;" — "&amp;VLOOKUP(B150,FLOTA!$A:$D,3,0),IFERROR(VLOOKUP(B150,'FLOTA TERCEROS'!$A:$D,4,0)&amp;" — "&amp;VLOOKUP(B150,'FLOTA TERCEROS'!$A:$D,3,0),"⚠ No encontrado")))</f>
        <v>AMAROK CD 2.0 4X4 180CV — VOLKSWAGEN</v>
      </c>
      <c r="D150" s="38">
        <v>50</v>
      </c>
      <c r="E150" s="39" t="s">
        <v>107</v>
      </c>
      <c r="F150" s="28" t="s">
        <v>118</v>
      </c>
      <c r="G150" s="40" t="s">
        <v>128</v>
      </c>
    </row>
    <row r="151" spans="1:7" ht="18" customHeight="1">
      <c r="A151" s="36">
        <v>45705</v>
      </c>
      <c r="B151" s="37" t="s">
        <v>53</v>
      </c>
      <c r="C151" s="25" t="str">
        <f>IF(B151="","",IFERROR(VLOOKUP(B151,FLOTA!$A:$D,4,0)&amp;" — "&amp;VLOOKUP(B151,FLOTA!$A:$D,3,0),IFERROR(VLOOKUP(B151,'FLOTA TERCEROS'!$A:$D,4,0)&amp;" — "&amp;VLOOKUP(B151,'FLOTA TERCEROS'!$A:$D,3,0),"⚠ No encontrado")))</f>
        <v>AMAROK DC 2.0L TDI 180CV 4X4 — VOLKSWAGEN</v>
      </c>
      <c r="D151" s="38">
        <v>60</v>
      </c>
      <c r="E151" s="39" t="s">
        <v>107</v>
      </c>
      <c r="F151" s="28" t="s">
        <v>121</v>
      </c>
      <c r="G151" s="40"/>
    </row>
    <row r="152" spans="1:7" ht="18" customHeight="1">
      <c r="A152" s="36">
        <v>45705</v>
      </c>
      <c r="B152" s="37" t="s">
        <v>92</v>
      </c>
      <c r="C152" s="25" t="str">
        <f>IF(B152="","",IFERROR(VLOOKUP(B152,FLOTA!$A:$D,4,0)&amp;" — "&amp;VLOOKUP(B152,FLOTA!$A:$D,3,0),IFERROR(VLOOKUP(B152,'FLOTA TERCEROS'!$A:$D,4,0)&amp;" — "&amp;VLOOKUP(B152,'FLOTA TERCEROS'!$A:$D,3,0),"⚠ No encontrado")))</f>
        <v>→ completar — MERCEDES BENZ</v>
      </c>
      <c r="D152" s="38">
        <v>60</v>
      </c>
      <c r="E152" s="39" t="s">
        <v>107</v>
      </c>
      <c r="F152" s="28" t="s">
        <v>111</v>
      </c>
      <c r="G152" s="40"/>
    </row>
    <row r="153" spans="1:7" ht="18" customHeight="1">
      <c r="A153" s="36">
        <v>45705</v>
      </c>
      <c r="B153" s="37" t="s">
        <v>49</v>
      </c>
      <c r="C153" s="25" t="str">
        <f>IF(B153="","",IFERROR(VLOOKUP(B153,FLOTA!$A:$D,4,0)&amp;" — "&amp;VLOOKUP(B153,FLOTA!$A:$D,3,0),IFERROR(VLOOKUP(B153,'FLOTA TERCEROS'!$A:$D,4,0)&amp;" — "&amp;VLOOKUP(B153,'FLOTA TERCEROS'!$A:$D,3,0),"⚠ No encontrado")))</f>
        <v>AMAROK CD 2.0 4X4 180CV — VOLKSWAGEN</v>
      </c>
      <c r="D153" s="38">
        <v>70</v>
      </c>
      <c r="E153" s="39" t="s">
        <v>107</v>
      </c>
      <c r="F153" s="28" t="s">
        <v>112</v>
      </c>
      <c r="G153" s="40"/>
    </row>
    <row r="154" spans="1:7" ht="18" customHeight="1">
      <c r="A154" s="36">
        <v>45706</v>
      </c>
      <c r="B154" s="37" t="s">
        <v>58</v>
      </c>
      <c r="C154" s="25" t="str">
        <f>IF(B154="","",IFERROR(VLOOKUP(B154,FLOTA!$A:$D,4,0)&amp;" — "&amp;VLOOKUP(B154,FLOTA!$A:$D,3,0),IFERROR(VLOOKUP(B154,'FLOTA TERCEROS'!$A:$D,4,0)&amp;" — "&amp;VLOOKUP(B154,'FLOTA TERCEROS'!$A:$D,3,0),"⚠ No encontrado")))</f>
        <v>SPRINTER 515 CDIC — MERCEDES BENZ</v>
      </c>
      <c r="D154" s="38">
        <v>50</v>
      </c>
      <c r="E154" s="39" t="s">
        <v>107</v>
      </c>
      <c r="F154" s="28" t="s">
        <v>119</v>
      </c>
      <c r="G154" s="40"/>
    </row>
    <row r="155" spans="1:7" ht="18" customHeight="1">
      <c r="A155" s="36">
        <v>45706</v>
      </c>
      <c r="B155" s="37" t="s">
        <v>53</v>
      </c>
      <c r="C155" s="25" t="str">
        <f>IF(B155="","",IFERROR(VLOOKUP(B155,FLOTA!$A:$D,4,0)&amp;" — "&amp;VLOOKUP(B155,FLOTA!$A:$D,3,0),IFERROR(VLOOKUP(B155,'FLOTA TERCEROS'!$A:$D,4,0)&amp;" — "&amp;VLOOKUP(B155,'FLOTA TERCEROS'!$A:$D,3,0),"⚠ No encontrado")))</f>
        <v>AMAROK DC 2.0L TDI 180CV 4X4 — VOLKSWAGEN</v>
      </c>
      <c r="D155" s="38">
        <v>55</v>
      </c>
      <c r="E155" s="39" t="s">
        <v>107</v>
      </c>
      <c r="F155" s="28" t="s">
        <v>121</v>
      </c>
      <c r="G155" s="40"/>
    </row>
    <row r="156" spans="1:7" ht="18" customHeight="1">
      <c r="A156" s="36">
        <v>45707</v>
      </c>
      <c r="B156" s="37" t="s">
        <v>81</v>
      </c>
      <c r="C156" s="25" t="str">
        <f>IF(B156="","",IFERROR(VLOOKUP(B156,FLOTA!$A:$D,4,0)&amp;" — "&amp;VLOOKUP(B156,FLOTA!$A:$D,3,0),IFERROR(VLOOKUP(B156,'FLOTA TERCEROS'!$A:$D,4,0)&amp;" — "&amp;VLOOKUP(B156,'FLOTA TERCEROS'!$A:$D,3,0),"⚠ No encontrado")))</f>
        <v>RANGER — FORD</v>
      </c>
      <c r="D156" s="38">
        <v>50</v>
      </c>
      <c r="E156" s="39" t="s">
        <v>107</v>
      </c>
      <c r="F156" s="28" t="s">
        <v>116</v>
      </c>
      <c r="G156" s="40"/>
    </row>
    <row r="157" spans="1:7" ht="18" customHeight="1">
      <c r="A157" s="36">
        <v>45708</v>
      </c>
      <c r="B157" s="37" t="s">
        <v>43</v>
      </c>
      <c r="C157" s="25" t="str">
        <f>IF(B157="","",IFERROR(VLOOKUP(B157,FLOTA!$A:$D,4,0)&amp;" — "&amp;VLOOKUP(B157,FLOTA!$A:$D,3,0),IFERROR(VLOOKUP(B157,'FLOTA TERCEROS'!$A:$D,4,0)&amp;" — "&amp;VLOOKUP(B157,'FLOTA TERCEROS'!$A:$D,3,0),"⚠ No encontrado")))</f>
        <v>AMAROK CS 2.0 140CV — VOLKSWAGEN</v>
      </c>
      <c r="D157" s="38">
        <v>60</v>
      </c>
      <c r="E157" s="39" t="s">
        <v>107</v>
      </c>
      <c r="F157" s="28" t="s">
        <v>115</v>
      </c>
      <c r="G157" s="40"/>
    </row>
    <row r="158" spans="1:7" ht="18" customHeight="1">
      <c r="A158" s="36">
        <v>45708</v>
      </c>
      <c r="B158" s="37" t="s">
        <v>81</v>
      </c>
      <c r="C158" s="25" t="str">
        <f>IF(B158="","",IFERROR(VLOOKUP(B158,FLOTA!$A:$D,4,0)&amp;" — "&amp;VLOOKUP(B158,FLOTA!$A:$D,3,0),IFERROR(VLOOKUP(B158,'FLOTA TERCEROS'!$A:$D,4,0)&amp;" — "&amp;VLOOKUP(B158,'FLOTA TERCEROS'!$A:$D,3,0),"⚠ No encontrado")))</f>
        <v>RANGER — FORD</v>
      </c>
      <c r="D158" s="38">
        <v>60</v>
      </c>
      <c r="E158" s="39" t="s">
        <v>107</v>
      </c>
      <c r="F158" s="28" t="s">
        <v>114</v>
      </c>
      <c r="G158" s="40"/>
    </row>
    <row r="159" spans="1:7" ht="18" customHeight="1">
      <c r="A159" s="36">
        <v>45709</v>
      </c>
      <c r="B159" s="37" t="s">
        <v>92</v>
      </c>
      <c r="C159" s="25" t="str">
        <f>IF(B159="","",IFERROR(VLOOKUP(B159,FLOTA!$A:$D,4,0)&amp;" — "&amp;VLOOKUP(B159,FLOTA!$A:$D,3,0),IFERROR(VLOOKUP(B159,'FLOTA TERCEROS'!$A:$D,4,0)&amp;" — "&amp;VLOOKUP(B159,'FLOTA TERCEROS'!$A:$D,3,0),"⚠ No encontrado")))</f>
        <v>→ completar — MERCEDES BENZ</v>
      </c>
      <c r="D159" s="38">
        <v>50</v>
      </c>
      <c r="E159" s="39" t="s">
        <v>107</v>
      </c>
      <c r="F159" s="28" t="s">
        <v>111</v>
      </c>
      <c r="G159" s="40"/>
    </row>
    <row r="160" spans="1:7" ht="18" customHeight="1">
      <c r="A160" s="36">
        <v>45709</v>
      </c>
      <c r="B160" s="37" t="s">
        <v>58</v>
      </c>
      <c r="C160" s="25" t="str">
        <f>IF(B160="","",IFERROR(VLOOKUP(B160,FLOTA!$A:$D,4,0)&amp;" — "&amp;VLOOKUP(B160,FLOTA!$A:$D,3,0),IFERROR(VLOOKUP(B160,'FLOTA TERCEROS'!$A:$D,4,0)&amp;" — "&amp;VLOOKUP(B160,'FLOTA TERCEROS'!$A:$D,3,0),"⚠ No encontrado")))</f>
        <v>SPRINTER 515 CDIC — MERCEDES BENZ</v>
      </c>
      <c r="D160" s="38">
        <v>50</v>
      </c>
      <c r="E160" s="39" t="s">
        <v>107</v>
      </c>
      <c r="F160" s="28" t="s">
        <v>119</v>
      </c>
      <c r="G160" s="40"/>
    </row>
    <row r="161" spans="1:7" ht="18" customHeight="1">
      <c r="A161" s="36">
        <v>45710</v>
      </c>
      <c r="B161" s="37" t="s">
        <v>53</v>
      </c>
      <c r="C161" s="25" t="str">
        <f>IF(B161="","",IFERROR(VLOOKUP(B161,FLOTA!$A:$D,4,0)&amp;" — "&amp;VLOOKUP(B161,FLOTA!$A:$D,3,0),IFERROR(VLOOKUP(B161,'FLOTA TERCEROS'!$A:$D,4,0)&amp;" — "&amp;VLOOKUP(B161,'FLOTA TERCEROS'!$A:$D,3,0),"⚠ No encontrado")))</f>
        <v>AMAROK DC 2.0L TDI 180CV 4X4 — VOLKSWAGEN</v>
      </c>
      <c r="D161" s="38">
        <v>50</v>
      </c>
      <c r="E161" s="39" t="s">
        <v>107</v>
      </c>
      <c r="F161" s="28" t="s">
        <v>118</v>
      </c>
      <c r="G161" s="40" t="s">
        <v>128</v>
      </c>
    </row>
    <row r="162" spans="1:7" ht="18" customHeight="1">
      <c r="A162" s="36">
        <v>45710</v>
      </c>
      <c r="B162" s="37" t="s">
        <v>86</v>
      </c>
      <c r="C162" s="25" t="str">
        <f>IF(B162="","",IFERROR(VLOOKUP(B162,FLOTA!$A:$D,4,0)&amp;" — "&amp;VLOOKUP(B162,FLOTA!$A:$D,3,0),IFERROR(VLOOKUP(B162,'FLOTA TERCEROS'!$A:$D,4,0)&amp;" — "&amp;VLOOKUP(B162,'FLOTA TERCEROS'!$A:$D,3,0),"⚠ No encontrado")))</f>
        <v>RANGER — FORD</v>
      </c>
      <c r="D162" s="38">
        <v>55</v>
      </c>
      <c r="E162" s="39" t="s">
        <v>107</v>
      </c>
      <c r="F162" s="28" t="s">
        <v>116</v>
      </c>
      <c r="G162" s="40"/>
    </row>
    <row r="163" spans="1:7" ht="18" customHeight="1">
      <c r="A163" s="36">
        <v>45713</v>
      </c>
      <c r="B163" s="37" t="s">
        <v>53</v>
      </c>
      <c r="C163" s="25" t="str">
        <f>IF(B163="","",IFERROR(VLOOKUP(B163,FLOTA!$A:$D,4,0)&amp;" — "&amp;VLOOKUP(B163,FLOTA!$A:$D,3,0),IFERROR(VLOOKUP(B163,'FLOTA TERCEROS'!$A:$D,4,0)&amp;" — "&amp;VLOOKUP(B163,'FLOTA TERCEROS'!$A:$D,3,0),"⚠ No encontrado")))</f>
        <v>AMAROK DC 2.0L TDI 180CV 4X4 — VOLKSWAGEN</v>
      </c>
      <c r="D163" s="38">
        <v>77</v>
      </c>
      <c r="E163" s="39" t="s">
        <v>107</v>
      </c>
      <c r="F163" s="28" t="s">
        <v>121</v>
      </c>
      <c r="G163" s="40"/>
    </row>
    <row r="164" spans="1:7" ht="18" customHeight="1">
      <c r="A164" s="36">
        <v>45713</v>
      </c>
      <c r="B164" s="37" t="s">
        <v>49</v>
      </c>
      <c r="C164" s="25" t="str">
        <f>IF(B164="","",IFERROR(VLOOKUP(B164,FLOTA!$A:$D,4,0)&amp;" — "&amp;VLOOKUP(B164,FLOTA!$A:$D,3,0),IFERROR(VLOOKUP(B164,'FLOTA TERCEROS'!$A:$D,4,0)&amp;" — "&amp;VLOOKUP(B164,'FLOTA TERCEROS'!$A:$D,3,0),"⚠ No encontrado")))</f>
        <v>AMAROK CD 2.0 4X4 180CV — VOLKSWAGEN</v>
      </c>
      <c r="D164" s="38">
        <v>80</v>
      </c>
      <c r="E164" s="39" t="s">
        <v>107</v>
      </c>
      <c r="F164" s="28" t="s">
        <v>112</v>
      </c>
      <c r="G164" s="40" t="s">
        <v>128</v>
      </c>
    </row>
    <row r="165" spans="1:7" ht="18" customHeight="1">
      <c r="A165" s="36">
        <v>45714</v>
      </c>
      <c r="B165" s="37" t="s">
        <v>58</v>
      </c>
      <c r="C165" s="25" t="str">
        <f>IF(B165="","",IFERROR(VLOOKUP(B165,FLOTA!$A:$D,4,0)&amp;" — "&amp;VLOOKUP(B165,FLOTA!$A:$D,3,0),IFERROR(VLOOKUP(B165,'FLOTA TERCEROS'!$A:$D,4,0)&amp;" — "&amp;VLOOKUP(B165,'FLOTA TERCEROS'!$A:$D,3,0),"⚠ No encontrado")))</f>
        <v>SPRINTER 515 CDIC — MERCEDES BENZ</v>
      </c>
      <c r="D165" s="38">
        <v>70</v>
      </c>
      <c r="E165" s="39" t="s">
        <v>107</v>
      </c>
      <c r="F165" s="28" t="s">
        <v>119</v>
      </c>
      <c r="G165" s="40"/>
    </row>
    <row r="166" spans="1:7" ht="18" customHeight="1">
      <c r="A166" s="36">
        <v>45714</v>
      </c>
      <c r="B166" s="37" t="s">
        <v>86</v>
      </c>
      <c r="C166" s="25" t="str">
        <f>IF(B166="","",IFERROR(VLOOKUP(B166,FLOTA!$A:$D,4,0)&amp;" — "&amp;VLOOKUP(B166,FLOTA!$A:$D,3,0),IFERROR(VLOOKUP(B166,'FLOTA TERCEROS'!$A:$D,4,0)&amp;" — "&amp;VLOOKUP(B166,'FLOTA TERCEROS'!$A:$D,3,0),"⚠ No encontrado")))</f>
        <v>RANGER — FORD</v>
      </c>
      <c r="D166" s="38">
        <v>60</v>
      </c>
      <c r="E166" s="39" t="s">
        <v>107</v>
      </c>
      <c r="F166" s="28" t="s">
        <v>116</v>
      </c>
      <c r="G166" s="40"/>
    </row>
    <row r="167" spans="1:7" ht="18" customHeight="1">
      <c r="A167" s="36">
        <v>45715</v>
      </c>
      <c r="B167" s="37" t="s">
        <v>81</v>
      </c>
      <c r="C167" s="25" t="str">
        <f>IF(B167="","",IFERROR(VLOOKUP(B167,FLOTA!$A:$D,4,0)&amp;" — "&amp;VLOOKUP(B167,FLOTA!$A:$D,3,0),IFERROR(VLOOKUP(B167,'FLOTA TERCEROS'!$A:$D,4,0)&amp;" — "&amp;VLOOKUP(B167,'FLOTA TERCEROS'!$A:$D,3,0),"⚠ No encontrado")))</f>
        <v>RANGER — FORD</v>
      </c>
      <c r="D167" s="38">
        <v>60</v>
      </c>
      <c r="E167" s="39" t="s">
        <v>107</v>
      </c>
      <c r="F167" s="28" t="s">
        <v>122</v>
      </c>
      <c r="G167" s="40"/>
    </row>
    <row r="168" spans="1:7" ht="18" customHeight="1">
      <c r="A168" s="36">
        <v>45715</v>
      </c>
      <c r="B168" s="37" t="s">
        <v>43</v>
      </c>
      <c r="C168" s="25" t="str">
        <f>IF(B168="","",IFERROR(VLOOKUP(B168,FLOTA!$A:$D,4,0)&amp;" — "&amp;VLOOKUP(B168,FLOTA!$A:$D,3,0),IFERROR(VLOOKUP(B168,'FLOTA TERCEROS'!$A:$D,4,0)&amp;" — "&amp;VLOOKUP(B168,'FLOTA TERCEROS'!$A:$D,3,0),"⚠ No encontrado")))</f>
        <v>AMAROK CS 2.0 140CV — VOLKSWAGEN</v>
      </c>
      <c r="D168" s="38">
        <v>50</v>
      </c>
      <c r="E168" s="39" t="s">
        <v>107</v>
      </c>
      <c r="F168" s="28" t="s">
        <v>115</v>
      </c>
      <c r="G168" s="40"/>
    </row>
    <row r="169" spans="1:7" ht="18" customHeight="1">
      <c r="A169" s="36">
        <v>45716</v>
      </c>
      <c r="B169" s="37" t="s">
        <v>92</v>
      </c>
      <c r="C169" s="25" t="str">
        <f>IF(B169="","",IFERROR(VLOOKUP(B169,FLOTA!$A:$D,4,0)&amp;" — "&amp;VLOOKUP(B169,FLOTA!$A:$D,3,0),IFERROR(VLOOKUP(B169,'FLOTA TERCEROS'!$A:$D,4,0)&amp;" — "&amp;VLOOKUP(B169,'FLOTA TERCEROS'!$A:$D,3,0),"⚠ No encontrado")))</f>
        <v>→ completar — MERCEDES BENZ</v>
      </c>
      <c r="D169" s="38">
        <v>30</v>
      </c>
      <c r="E169" s="39" t="s">
        <v>107</v>
      </c>
      <c r="F169" s="28" t="s">
        <v>111</v>
      </c>
      <c r="G169" s="40"/>
    </row>
    <row r="170" spans="1:7" ht="18" customHeight="1">
      <c r="A170" s="36">
        <v>45716</v>
      </c>
      <c r="B170" s="37" t="s">
        <v>53</v>
      </c>
      <c r="C170" s="25" t="str">
        <f>IF(B170="","",IFERROR(VLOOKUP(B170,FLOTA!$A:$D,4,0)&amp;" — "&amp;VLOOKUP(B170,FLOTA!$A:$D,3,0),IFERROR(VLOOKUP(B170,'FLOTA TERCEROS'!$A:$D,4,0)&amp;" — "&amp;VLOOKUP(B170,'FLOTA TERCEROS'!$A:$D,3,0),"⚠ No encontrado")))</f>
        <v>AMAROK DC 2.0L TDI 180CV 4X4 — VOLKSWAGEN</v>
      </c>
      <c r="D170" s="38">
        <v>70</v>
      </c>
      <c r="E170" s="39" t="s">
        <v>107</v>
      </c>
      <c r="F170" s="28" t="s">
        <v>121</v>
      </c>
      <c r="G170" s="40"/>
    </row>
    <row r="171" spans="1:7" ht="18" customHeight="1">
      <c r="A171" s="36">
        <v>45716</v>
      </c>
      <c r="B171" s="37" t="s">
        <v>49</v>
      </c>
      <c r="C171" s="25" t="str">
        <f>IF(B171="","",IFERROR(VLOOKUP(B171,FLOTA!$A:$D,4,0)&amp;" — "&amp;VLOOKUP(B171,FLOTA!$A:$D,3,0),IFERROR(VLOOKUP(B171,'FLOTA TERCEROS'!$A:$D,4,0)&amp;" — "&amp;VLOOKUP(B171,'FLOTA TERCEROS'!$A:$D,3,0),"⚠ No encontrado")))</f>
        <v>AMAROK CD 2.0 4X4 180CV — VOLKSWAGEN</v>
      </c>
      <c r="D171" s="38">
        <v>70</v>
      </c>
      <c r="E171" s="39" t="s">
        <v>107</v>
      </c>
      <c r="F171" s="28" t="s">
        <v>112</v>
      </c>
      <c r="G171" s="40" t="s">
        <v>128</v>
      </c>
    </row>
    <row r="172" spans="1:7" ht="18" customHeight="1">
      <c r="A172" s="36">
        <v>45717</v>
      </c>
      <c r="B172" s="37" t="s">
        <v>24</v>
      </c>
      <c r="C172" s="25" t="str">
        <f>IF(B172="","",IFERROR(VLOOKUP(B172,FLOTA!$A:$D,4,0)&amp;" — "&amp;VLOOKUP(B172,FLOTA!$A:$D,3,0),IFERROR(VLOOKUP(B172,'FLOTA TERCEROS'!$A:$D,4,0)&amp;" — "&amp;VLOOKUP(B172,'FLOTA TERCEROS'!$A:$D,3,0),"⚠ No encontrado")))</f>
        <v>RANGER 2 CD 4X4 XLS 3.2L — FORD</v>
      </c>
      <c r="D172" s="38">
        <v>80</v>
      </c>
      <c r="E172" s="39" t="s">
        <v>107</v>
      </c>
      <c r="F172" s="28" t="s">
        <v>108</v>
      </c>
      <c r="G172" s="40"/>
    </row>
    <row r="173" spans="1:7" ht="18" customHeight="1">
      <c r="A173" s="36">
        <v>45717</v>
      </c>
      <c r="B173" s="37" t="s">
        <v>36</v>
      </c>
      <c r="C173" s="25" t="str">
        <f>IF(B173="","",IFERROR(VLOOKUP(B173,FLOTA!$A:$D,4,0)&amp;" — "&amp;VLOOKUP(B173,FLOTA!$A:$D,3,0),IFERROR(VLOOKUP(B173,'FLOTA TERCEROS'!$A:$D,4,0)&amp;" — "&amp;VLOOKUP(B173,'FLOTA TERCEROS'!$A:$D,3,0),"⚠ No encontrado")))</f>
        <v>HILUX 4X2 CD SRV 3.0 — TOYOTA</v>
      </c>
      <c r="D173" s="38">
        <v>65</v>
      </c>
      <c r="E173" s="39" t="s">
        <v>107</v>
      </c>
      <c r="F173" s="28" t="s">
        <v>110</v>
      </c>
      <c r="G173" s="40"/>
    </row>
    <row r="174" spans="1:7" ht="18" customHeight="1">
      <c r="A174" s="36">
        <v>45717</v>
      </c>
      <c r="B174" s="37" t="s">
        <v>86</v>
      </c>
      <c r="C174" s="25" t="str">
        <f>IF(B174="","",IFERROR(VLOOKUP(B174,FLOTA!$A:$D,4,0)&amp;" — "&amp;VLOOKUP(B174,FLOTA!$A:$D,3,0),IFERROR(VLOOKUP(B174,'FLOTA TERCEROS'!$A:$D,4,0)&amp;" — "&amp;VLOOKUP(B174,'FLOTA TERCEROS'!$A:$D,3,0),"⚠ No encontrado")))</f>
        <v>RANGER — FORD</v>
      </c>
      <c r="D174" s="38">
        <v>65</v>
      </c>
      <c r="E174" s="39" t="s">
        <v>107</v>
      </c>
      <c r="F174" s="28" t="s">
        <v>116</v>
      </c>
      <c r="G174" s="40"/>
    </row>
    <row r="175" spans="1:7" ht="18" customHeight="1">
      <c r="A175" s="36">
        <v>45717</v>
      </c>
      <c r="B175" s="37" t="s">
        <v>43</v>
      </c>
      <c r="C175" s="25" t="str">
        <f>IF(B175="","",IFERROR(VLOOKUP(B175,FLOTA!$A:$D,4,0)&amp;" — "&amp;VLOOKUP(B175,FLOTA!$A:$D,3,0),IFERROR(VLOOKUP(B175,'FLOTA TERCEROS'!$A:$D,4,0)&amp;" — "&amp;VLOOKUP(B175,'FLOTA TERCEROS'!$A:$D,3,0),"⚠ No encontrado")))</f>
        <v>AMAROK CS 2.0 140CV — VOLKSWAGEN</v>
      </c>
      <c r="D175" s="38">
        <v>60</v>
      </c>
      <c r="E175" s="39" t="s">
        <v>107</v>
      </c>
      <c r="F175" s="28" t="s">
        <v>118</v>
      </c>
      <c r="G175" s="40" t="s">
        <v>128</v>
      </c>
    </row>
    <row r="176" spans="1:7" ht="18" customHeight="1">
      <c r="A176" s="36">
        <v>45722</v>
      </c>
      <c r="B176" s="37" t="s">
        <v>58</v>
      </c>
      <c r="C176" s="25" t="str">
        <f>IF(B176="","",IFERROR(VLOOKUP(B176,FLOTA!$A:$D,4,0)&amp;" — "&amp;VLOOKUP(B176,FLOTA!$A:$D,3,0),IFERROR(VLOOKUP(B176,'FLOTA TERCEROS'!$A:$D,4,0)&amp;" — "&amp;VLOOKUP(B176,'FLOTA TERCEROS'!$A:$D,3,0),"⚠ No encontrado")))</f>
        <v>SPRINTER 515 CDIC — MERCEDES BENZ</v>
      </c>
      <c r="D176" s="38">
        <v>70</v>
      </c>
      <c r="E176" s="39" t="s">
        <v>107</v>
      </c>
      <c r="F176" s="28" t="s">
        <v>129</v>
      </c>
      <c r="G176" s="40"/>
    </row>
    <row r="177" spans="1:7" ht="18" customHeight="1">
      <c r="A177" s="36">
        <v>45722</v>
      </c>
      <c r="B177" s="37" t="s">
        <v>49</v>
      </c>
      <c r="C177" s="25" t="str">
        <f>IF(B177="","",IFERROR(VLOOKUP(B177,FLOTA!$A:$D,4,0)&amp;" — "&amp;VLOOKUP(B177,FLOTA!$A:$D,3,0),IFERROR(VLOOKUP(B177,'FLOTA TERCEROS'!$A:$D,4,0)&amp;" — "&amp;VLOOKUP(B177,'FLOTA TERCEROS'!$A:$D,3,0),"⚠ No encontrado")))</f>
        <v>AMAROK CD 2.0 4X4 180CV — VOLKSWAGEN</v>
      </c>
      <c r="D177" s="38">
        <v>55</v>
      </c>
      <c r="E177" s="39" t="s">
        <v>107</v>
      </c>
      <c r="F177" s="28" t="s">
        <v>112</v>
      </c>
      <c r="G177" s="40"/>
    </row>
    <row r="178" spans="1:7" ht="18" customHeight="1">
      <c r="A178" s="36">
        <v>45724</v>
      </c>
      <c r="B178" s="37" t="s">
        <v>43</v>
      </c>
      <c r="C178" s="25" t="str">
        <f>IF(B178="","",IFERROR(VLOOKUP(B178,FLOTA!$A:$D,4,0)&amp;" — "&amp;VLOOKUP(B178,FLOTA!$A:$D,3,0),IFERROR(VLOOKUP(B178,'FLOTA TERCEROS'!$A:$D,4,0)&amp;" — "&amp;VLOOKUP(B178,'FLOTA TERCEROS'!$A:$D,3,0),"⚠ No encontrado")))</f>
        <v>AMAROK CS 2.0 140CV — VOLKSWAGEN</v>
      </c>
      <c r="D178" s="38">
        <v>40</v>
      </c>
      <c r="E178" s="39" t="s">
        <v>107</v>
      </c>
      <c r="F178" s="28" t="s">
        <v>115</v>
      </c>
      <c r="G178" s="40"/>
    </row>
    <row r="179" spans="1:7" ht="18" customHeight="1">
      <c r="A179" s="36">
        <v>45724</v>
      </c>
      <c r="B179" s="37" t="s">
        <v>81</v>
      </c>
      <c r="C179" s="25" t="str">
        <f>IF(B179="","",IFERROR(VLOOKUP(B179,FLOTA!$A:$D,4,0)&amp;" — "&amp;VLOOKUP(B179,FLOTA!$A:$D,3,0),IFERROR(VLOOKUP(B179,'FLOTA TERCEROS'!$A:$D,4,0)&amp;" — "&amp;VLOOKUP(B179,'FLOTA TERCEROS'!$A:$D,3,0),"⚠ No encontrado")))</f>
        <v>RANGER — FORD</v>
      </c>
      <c r="D179" s="38">
        <v>60</v>
      </c>
      <c r="E179" s="39" t="s">
        <v>107</v>
      </c>
      <c r="F179" s="28" t="s">
        <v>114</v>
      </c>
      <c r="G179" s="40"/>
    </row>
    <row r="180" spans="1:7" ht="18" customHeight="1">
      <c r="A180" s="36">
        <v>45724</v>
      </c>
      <c r="B180" s="37" t="s">
        <v>53</v>
      </c>
      <c r="C180" s="25" t="str">
        <f>IF(B180="","",IFERROR(VLOOKUP(B180,FLOTA!$A:$D,4,0)&amp;" — "&amp;VLOOKUP(B180,FLOTA!$A:$D,3,0),IFERROR(VLOOKUP(B180,'FLOTA TERCEROS'!$A:$D,4,0)&amp;" — "&amp;VLOOKUP(B180,'FLOTA TERCEROS'!$A:$D,3,0),"⚠ No encontrado")))</f>
        <v>AMAROK DC 2.0L TDI 180CV 4X4 — VOLKSWAGEN</v>
      </c>
      <c r="D180" s="38">
        <v>45</v>
      </c>
      <c r="E180" s="39" t="s">
        <v>107</v>
      </c>
      <c r="F180" s="28" t="s">
        <v>121</v>
      </c>
      <c r="G180" s="40" t="s">
        <v>128</v>
      </c>
    </row>
    <row r="181" spans="1:7" ht="18" customHeight="1">
      <c r="A181" s="36">
        <v>45724</v>
      </c>
      <c r="B181" s="37" t="s">
        <v>92</v>
      </c>
      <c r="C181" s="25" t="str">
        <f>IF(B181="","",IFERROR(VLOOKUP(B181,FLOTA!$A:$D,4,0)&amp;" — "&amp;VLOOKUP(B181,FLOTA!$A:$D,3,0),IFERROR(VLOOKUP(B181,'FLOTA TERCEROS'!$A:$D,4,0)&amp;" — "&amp;VLOOKUP(B181,'FLOTA TERCEROS'!$A:$D,3,0),"⚠ No encontrado")))</f>
        <v>→ completar — MERCEDES BENZ</v>
      </c>
      <c r="D181" s="38">
        <v>47</v>
      </c>
      <c r="E181" s="39" t="s">
        <v>107</v>
      </c>
      <c r="F181" s="28" t="s">
        <v>111</v>
      </c>
      <c r="G181" s="40"/>
    </row>
    <row r="182" spans="1:7" ht="18" customHeight="1">
      <c r="A182" s="36">
        <v>45724</v>
      </c>
      <c r="B182" s="37" t="s">
        <v>86</v>
      </c>
      <c r="C182" s="25" t="str">
        <f>IF(B182="","",IFERROR(VLOOKUP(B182,FLOTA!$A:$D,4,0)&amp;" — "&amp;VLOOKUP(B182,FLOTA!$A:$D,3,0),IFERROR(VLOOKUP(B182,'FLOTA TERCEROS'!$A:$D,4,0)&amp;" — "&amp;VLOOKUP(B182,'FLOTA TERCEROS'!$A:$D,3,0),"⚠ No encontrado")))</f>
        <v>RANGER — FORD</v>
      </c>
      <c r="D182" s="38">
        <v>50</v>
      </c>
      <c r="E182" s="39" t="s">
        <v>107</v>
      </c>
      <c r="F182" s="28" t="s">
        <v>116</v>
      </c>
      <c r="G182" s="40"/>
    </row>
    <row r="183" spans="1:7" ht="18" customHeight="1">
      <c r="A183" s="36">
        <v>45727</v>
      </c>
      <c r="B183" s="37" t="s">
        <v>53</v>
      </c>
      <c r="C183" s="25" t="str">
        <f>IF(B183="","",IFERROR(VLOOKUP(B183,FLOTA!$A:$D,4,0)&amp;" — "&amp;VLOOKUP(B183,FLOTA!$A:$D,3,0),IFERROR(VLOOKUP(B183,'FLOTA TERCEROS'!$A:$D,4,0)&amp;" — "&amp;VLOOKUP(B183,'FLOTA TERCEROS'!$A:$D,3,0),"⚠ No encontrado")))</f>
        <v>AMAROK DC 2.0L TDI 180CV 4X4 — VOLKSWAGEN</v>
      </c>
      <c r="D183" s="38">
        <v>70</v>
      </c>
      <c r="E183" s="39" t="s">
        <v>107</v>
      </c>
      <c r="F183" s="28" t="s">
        <v>121</v>
      </c>
      <c r="G183" s="40" t="s">
        <v>128</v>
      </c>
    </row>
    <row r="184" spans="1:7" ht="18" customHeight="1">
      <c r="A184" s="36">
        <v>45727</v>
      </c>
      <c r="B184" s="37" t="s">
        <v>92</v>
      </c>
      <c r="C184" s="25" t="str">
        <f>IF(B184="","",IFERROR(VLOOKUP(B184,FLOTA!$A:$D,4,0)&amp;" — "&amp;VLOOKUP(B184,FLOTA!$A:$D,3,0),IFERROR(VLOOKUP(B184,'FLOTA TERCEROS'!$A:$D,4,0)&amp;" — "&amp;VLOOKUP(B184,'FLOTA TERCEROS'!$A:$D,3,0),"⚠ No encontrado")))</f>
        <v>→ completar — MERCEDES BENZ</v>
      </c>
      <c r="D184" s="38">
        <v>60</v>
      </c>
      <c r="E184" s="39" t="s">
        <v>107</v>
      </c>
      <c r="F184" s="28" t="s">
        <v>111</v>
      </c>
      <c r="G184" s="40"/>
    </row>
    <row r="185" spans="1:7" ht="18" customHeight="1">
      <c r="A185" s="36">
        <v>45727</v>
      </c>
      <c r="B185" s="37" t="s">
        <v>49</v>
      </c>
      <c r="C185" s="25" t="str">
        <f>IF(B185="","",IFERROR(VLOOKUP(B185,FLOTA!$A:$D,4,0)&amp;" — "&amp;VLOOKUP(B185,FLOTA!$A:$D,3,0),IFERROR(VLOOKUP(B185,'FLOTA TERCEROS'!$A:$D,4,0)&amp;" — "&amp;VLOOKUP(B185,'FLOTA TERCEROS'!$A:$D,3,0),"⚠ No encontrado")))</f>
        <v>AMAROK CD 2.0 4X4 180CV — VOLKSWAGEN</v>
      </c>
      <c r="D185" s="38">
        <v>70</v>
      </c>
      <c r="E185" s="39" t="s">
        <v>107</v>
      </c>
      <c r="F185" s="28" t="s">
        <v>112</v>
      </c>
      <c r="G185" s="40"/>
    </row>
    <row r="186" spans="1:7" ht="18" customHeight="1">
      <c r="A186" s="36">
        <v>45727</v>
      </c>
      <c r="B186" s="37" t="s">
        <v>24</v>
      </c>
      <c r="C186" s="25" t="str">
        <f>IF(B186="","",IFERROR(VLOOKUP(B186,FLOTA!$A:$D,4,0)&amp;" — "&amp;VLOOKUP(B186,FLOTA!$A:$D,3,0),IFERROR(VLOOKUP(B186,'FLOTA TERCEROS'!$A:$D,4,0)&amp;" — "&amp;VLOOKUP(B186,'FLOTA TERCEROS'!$A:$D,3,0),"⚠ No encontrado")))</f>
        <v>RANGER 2 CD 4X4 XLS 3.2L — FORD</v>
      </c>
      <c r="D186" s="38">
        <v>50</v>
      </c>
      <c r="E186" s="39" t="s">
        <v>107</v>
      </c>
      <c r="F186" s="28" t="s">
        <v>130</v>
      </c>
      <c r="G186" s="40"/>
    </row>
    <row r="187" spans="1:7" ht="18" customHeight="1">
      <c r="A187" s="36">
        <v>45729</v>
      </c>
      <c r="B187" s="37" t="s">
        <v>53</v>
      </c>
      <c r="C187" s="25" t="str">
        <f>IF(B187="","",IFERROR(VLOOKUP(B187,FLOTA!$A:$D,4,0)&amp;" — "&amp;VLOOKUP(B187,FLOTA!$A:$D,3,0),IFERROR(VLOOKUP(B187,'FLOTA TERCEROS'!$A:$D,4,0)&amp;" — "&amp;VLOOKUP(B187,'FLOTA TERCEROS'!$A:$D,3,0),"⚠ No encontrado")))</f>
        <v>AMAROK DC 2.0L TDI 180CV 4X4 — VOLKSWAGEN</v>
      </c>
      <c r="D187" s="38">
        <v>70</v>
      </c>
      <c r="E187" s="39" t="s">
        <v>107</v>
      </c>
      <c r="F187" s="28" t="s">
        <v>121</v>
      </c>
      <c r="G187" s="40" t="s">
        <v>128</v>
      </c>
    </row>
    <row r="188" spans="1:7" ht="18" customHeight="1">
      <c r="A188" s="36">
        <v>45729</v>
      </c>
      <c r="B188" s="37" t="s">
        <v>58</v>
      </c>
      <c r="C188" s="25" t="str">
        <f>IF(B188="","",IFERROR(VLOOKUP(B188,FLOTA!$A:$D,4,0)&amp;" — "&amp;VLOOKUP(B188,FLOTA!$A:$D,3,0),IFERROR(VLOOKUP(B188,'FLOTA TERCEROS'!$A:$D,4,0)&amp;" — "&amp;VLOOKUP(B188,'FLOTA TERCEROS'!$A:$D,3,0),"⚠ No encontrado")))</f>
        <v>SPRINTER 515 CDIC — MERCEDES BENZ</v>
      </c>
      <c r="D188" s="38">
        <v>60</v>
      </c>
      <c r="E188" s="39" t="s">
        <v>107</v>
      </c>
      <c r="F188" s="28" t="s">
        <v>113</v>
      </c>
      <c r="G188" s="40"/>
    </row>
    <row r="189" spans="1:7" ht="18" customHeight="1">
      <c r="A189" s="36">
        <v>45729</v>
      </c>
      <c r="B189" s="37" t="s">
        <v>43</v>
      </c>
      <c r="C189" s="25" t="str">
        <f>IF(B189="","",IFERROR(VLOOKUP(B189,FLOTA!$A:$D,4,0)&amp;" — "&amp;VLOOKUP(B189,FLOTA!$A:$D,3,0),IFERROR(VLOOKUP(B189,'FLOTA TERCEROS'!$A:$D,4,0)&amp;" — "&amp;VLOOKUP(B189,'FLOTA TERCEROS'!$A:$D,3,0),"⚠ No encontrado")))</f>
        <v>AMAROK CS 2.0 140CV — VOLKSWAGEN</v>
      </c>
      <c r="D189" s="38">
        <v>30</v>
      </c>
      <c r="E189" s="39" t="s">
        <v>107</v>
      </c>
      <c r="F189" s="28" t="s">
        <v>115</v>
      </c>
      <c r="G189" s="40"/>
    </row>
    <row r="190" spans="1:7" ht="18" customHeight="1">
      <c r="A190" s="36">
        <v>45730</v>
      </c>
      <c r="B190" s="37" t="s">
        <v>24</v>
      </c>
      <c r="C190" s="25" t="str">
        <f>IF(B190="","",IFERROR(VLOOKUP(B190,FLOTA!$A:$D,4,0)&amp;" — "&amp;VLOOKUP(B190,FLOTA!$A:$D,3,0),IFERROR(VLOOKUP(B190,'FLOTA TERCEROS'!$A:$D,4,0)&amp;" — "&amp;VLOOKUP(B190,'FLOTA TERCEROS'!$A:$D,3,0),"⚠ No encontrado")))</f>
        <v>RANGER 2 CD 4X4 XLS 3.2L — FORD</v>
      </c>
      <c r="D190" s="38">
        <v>40</v>
      </c>
      <c r="E190" s="39" t="s">
        <v>107</v>
      </c>
      <c r="F190" s="28" t="s">
        <v>108</v>
      </c>
      <c r="G190" s="40"/>
    </row>
    <row r="191" spans="1:7" ht="18" customHeight="1">
      <c r="A191" s="36">
        <v>45730</v>
      </c>
      <c r="B191" s="37" t="s">
        <v>92</v>
      </c>
      <c r="C191" s="25" t="str">
        <f>IF(B191="","",IFERROR(VLOOKUP(B191,FLOTA!$A:$D,4,0)&amp;" — "&amp;VLOOKUP(B191,FLOTA!$A:$D,3,0),IFERROR(VLOOKUP(B191,'FLOTA TERCEROS'!$A:$D,4,0)&amp;" — "&amp;VLOOKUP(B191,'FLOTA TERCEROS'!$A:$D,3,0),"⚠ No encontrado")))</f>
        <v>→ completar — MERCEDES BENZ</v>
      </c>
      <c r="D191" s="38">
        <v>30</v>
      </c>
      <c r="E191" s="39" t="s">
        <v>107</v>
      </c>
      <c r="F191" s="28" t="s">
        <v>111</v>
      </c>
      <c r="G191" s="40"/>
    </row>
    <row r="192" spans="1:7" ht="18" customHeight="1">
      <c r="A192" s="36">
        <v>45730</v>
      </c>
      <c r="B192" s="37" t="s">
        <v>81</v>
      </c>
      <c r="C192" s="25" t="str">
        <f>IF(B192="","",IFERROR(VLOOKUP(B192,FLOTA!$A:$D,4,0)&amp;" — "&amp;VLOOKUP(B192,FLOTA!$A:$D,3,0),IFERROR(VLOOKUP(B192,'FLOTA TERCEROS'!$A:$D,4,0)&amp;" — "&amp;VLOOKUP(B192,'FLOTA TERCEROS'!$A:$D,3,0),"⚠ No encontrado")))</f>
        <v>RANGER — FORD</v>
      </c>
      <c r="D192" s="38">
        <v>60</v>
      </c>
      <c r="E192" s="39" t="s">
        <v>107</v>
      </c>
      <c r="F192" s="28" t="s">
        <v>123</v>
      </c>
      <c r="G192" s="40" t="s">
        <v>131</v>
      </c>
    </row>
    <row r="193" spans="1:7" ht="18" customHeight="1">
      <c r="A193" s="36">
        <v>45730</v>
      </c>
      <c r="B193" s="37" t="s">
        <v>43</v>
      </c>
      <c r="C193" s="25" t="str">
        <f>IF(B193="","",IFERROR(VLOOKUP(B193,FLOTA!$A:$D,4,0)&amp;" — "&amp;VLOOKUP(B193,FLOTA!$A:$D,3,0),IFERROR(VLOOKUP(B193,'FLOTA TERCEROS'!$A:$D,4,0)&amp;" — "&amp;VLOOKUP(B193,'FLOTA TERCEROS'!$A:$D,3,0),"⚠ No encontrado")))</f>
        <v>AMAROK CS 2.0 140CV — VOLKSWAGEN</v>
      </c>
      <c r="D193" s="38">
        <v>70</v>
      </c>
      <c r="E193" s="39" t="s">
        <v>107</v>
      </c>
      <c r="F193" s="28" t="s">
        <v>118</v>
      </c>
      <c r="G193" s="40" t="s">
        <v>128</v>
      </c>
    </row>
    <row r="194" spans="1:7" ht="18" customHeight="1">
      <c r="A194" s="36">
        <v>45733</v>
      </c>
      <c r="B194" s="37" t="s">
        <v>86</v>
      </c>
      <c r="C194" s="25" t="str">
        <f>IF(B194="","",IFERROR(VLOOKUP(B194,FLOTA!$A:$D,4,0)&amp;" — "&amp;VLOOKUP(B194,FLOTA!$A:$D,3,0),IFERROR(VLOOKUP(B194,'FLOTA TERCEROS'!$A:$D,4,0)&amp;" — "&amp;VLOOKUP(B194,'FLOTA TERCEROS'!$A:$D,3,0),"⚠ No encontrado")))</f>
        <v>RANGER — FORD</v>
      </c>
      <c r="D194" s="38">
        <v>70</v>
      </c>
      <c r="E194" s="39" t="s">
        <v>107</v>
      </c>
      <c r="F194" s="28" t="s">
        <v>116</v>
      </c>
      <c r="G194" s="40"/>
    </row>
    <row r="195" spans="1:7" ht="18" customHeight="1">
      <c r="A195" s="36">
        <v>45733</v>
      </c>
      <c r="B195" s="37" t="s">
        <v>92</v>
      </c>
      <c r="C195" s="25" t="str">
        <f>IF(B195="","",IFERROR(VLOOKUP(B195,FLOTA!$A:$D,4,0)&amp;" — "&amp;VLOOKUP(B195,FLOTA!$A:$D,3,0),IFERROR(VLOOKUP(B195,'FLOTA TERCEROS'!$A:$D,4,0)&amp;" — "&amp;VLOOKUP(B195,'FLOTA TERCEROS'!$A:$D,3,0),"⚠ No encontrado")))</f>
        <v>→ completar — MERCEDES BENZ</v>
      </c>
      <c r="D195" s="38">
        <v>70</v>
      </c>
      <c r="E195" s="39" t="s">
        <v>107</v>
      </c>
      <c r="F195" s="28" t="s">
        <v>111</v>
      </c>
      <c r="G195" s="40"/>
    </row>
    <row r="196" spans="1:7" ht="18" customHeight="1">
      <c r="A196" s="36">
        <v>45734</v>
      </c>
      <c r="B196" s="37" t="s">
        <v>53</v>
      </c>
      <c r="C196" s="25" t="str">
        <f>IF(B196="","",IFERROR(VLOOKUP(B196,FLOTA!$A:$D,4,0)&amp;" — "&amp;VLOOKUP(B196,FLOTA!$A:$D,3,0),IFERROR(VLOOKUP(B196,'FLOTA TERCEROS'!$A:$D,4,0)&amp;" — "&amp;VLOOKUP(B196,'FLOTA TERCEROS'!$A:$D,3,0),"⚠ No encontrado")))</f>
        <v>AMAROK DC 2.0L TDI 180CV 4X4 — VOLKSWAGEN</v>
      </c>
      <c r="D196" s="38">
        <v>70</v>
      </c>
      <c r="E196" s="39" t="s">
        <v>107</v>
      </c>
      <c r="F196" s="28" t="s">
        <v>121</v>
      </c>
      <c r="G196" s="40" t="s">
        <v>128</v>
      </c>
    </row>
    <row r="197" spans="1:7" ht="18" customHeight="1">
      <c r="A197" s="36">
        <v>45734</v>
      </c>
      <c r="B197" s="37" t="s">
        <v>49</v>
      </c>
      <c r="C197" s="25" t="str">
        <f>IF(B197="","",IFERROR(VLOOKUP(B197,FLOTA!$A:$D,4,0)&amp;" — "&amp;VLOOKUP(B197,FLOTA!$A:$D,3,0),IFERROR(VLOOKUP(B197,'FLOTA TERCEROS'!$A:$D,4,0)&amp;" — "&amp;VLOOKUP(B197,'FLOTA TERCEROS'!$A:$D,3,0),"⚠ No encontrado")))</f>
        <v>AMAROK CD 2.0 4X4 180CV — VOLKSWAGEN</v>
      </c>
      <c r="D197" s="38">
        <v>70</v>
      </c>
      <c r="E197" s="39" t="s">
        <v>107</v>
      </c>
      <c r="F197" s="28" t="s">
        <v>112</v>
      </c>
      <c r="G197" s="40"/>
    </row>
    <row r="198" spans="1:7" ht="18" customHeight="1">
      <c r="A198" s="36">
        <v>45735</v>
      </c>
      <c r="B198" s="37" t="s">
        <v>81</v>
      </c>
      <c r="C198" s="25" t="str">
        <f>IF(B198="","",IFERROR(VLOOKUP(B198,FLOTA!$A:$D,4,0)&amp;" — "&amp;VLOOKUP(B198,FLOTA!$A:$D,3,0),IFERROR(VLOOKUP(B198,'FLOTA TERCEROS'!$A:$D,4,0)&amp;" — "&amp;VLOOKUP(B198,'FLOTA TERCEROS'!$A:$D,3,0),"⚠ No encontrado")))</f>
        <v>RANGER — FORD</v>
      </c>
      <c r="D198" s="38">
        <v>75</v>
      </c>
      <c r="E198" s="39" t="s">
        <v>107</v>
      </c>
      <c r="F198" s="28" t="s">
        <v>114</v>
      </c>
      <c r="G198" s="40"/>
    </row>
    <row r="199" spans="1:7" ht="18" customHeight="1">
      <c r="A199" s="36">
        <v>45735</v>
      </c>
      <c r="B199" s="37" t="s">
        <v>24</v>
      </c>
      <c r="C199" s="25" t="str">
        <f>IF(B199="","",IFERROR(VLOOKUP(B199,FLOTA!$A:$D,4,0)&amp;" — "&amp;VLOOKUP(B199,FLOTA!$A:$D,3,0),IFERROR(VLOOKUP(B199,'FLOTA TERCEROS'!$A:$D,4,0)&amp;" — "&amp;VLOOKUP(B199,'FLOTA TERCEROS'!$A:$D,3,0),"⚠ No encontrado")))</f>
        <v>RANGER 2 CD 4X4 XLS 3.2L — FORD</v>
      </c>
      <c r="D199" s="38">
        <v>62</v>
      </c>
      <c r="E199" s="39" t="s">
        <v>107</v>
      </c>
      <c r="F199" s="28" t="s">
        <v>108</v>
      </c>
      <c r="G199" s="40"/>
    </row>
    <row r="200" spans="1:7" ht="18" customHeight="1">
      <c r="A200" s="36">
        <v>45735</v>
      </c>
      <c r="B200" s="37" t="s">
        <v>43</v>
      </c>
      <c r="C200" s="25" t="str">
        <f>IF(B200="","",IFERROR(VLOOKUP(B200,FLOTA!$A:$D,4,0)&amp;" — "&amp;VLOOKUP(B200,FLOTA!$A:$D,3,0),IFERROR(VLOOKUP(B200,'FLOTA TERCEROS'!$A:$D,4,0)&amp;" — "&amp;VLOOKUP(B200,'FLOTA TERCEROS'!$A:$D,3,0),"⚠ No encontrado")))</f>
        <v>AMAROK CS 2.0 140CV — VOLKSWAGEN</v>
      </c>
      <c r="D200" s="38">
        <v>70</v>
      </c>
      <c r="E200" s="39" t="s">
        <v>107</v>
      </c>
      <c r="F200" s="28" t="s">
        <v>115</v>
      </c>
      <c r="G200" s="40"/>
    </row>
    <row r="201" spans="1:7" ht="18" customHeight="1">
      <c r="A201" s="36">
        <v>45735</v>
      </c>
      <c r="B201" s="37" t="s">
        <v>58</v>
      </c>
      <c r="C201" s="25" t="str">
        <f>IF(B201="","",IFERROR(VLOOKUP(B201,FLOTA!$A:$D,4,0)&amp;" — "&amp;VLOOKUP(B201,FLOTA!$A:$D,3,0),IFERROR(VLOOKUP(B201,'FLOTA TERCEROS'!$A:$D,4,0)&amp;" — "&amp;VLOOKUP(B201,'FLOTA TERCEROS'!$A:$D,3,0),"⚠ No encontrado")))</f>
        <v>SPRINTER 515 CDIC — MERCEDES BENZ</v>
      </c>
      <c r="D201" s="38">
        <v>70</v>
      </c>
      <c r="E201" s="39" t="s">
        <v>107</v>
      </c>
      <c r="F201" s="28" t="s">
        <v>113</v>
      </c>
      <c r="G201" s="40"/>
    </row>
    <row r="202" spans="1:7" ht="18" customHeight="1">
      <c r="A202" s="36">
        <v>45736</v>
      </c>
      <c r="B202" s="37" t="s">
        <v>53</v>
      </c>
      <c r="C202" s="25" t="str">
        <f>IF(B202="","",IFERROR(VLOOKUP(B202,FLOTA!$A:$D,4,0)&amp;" — "&amp;VLOOKUP(B202,FLOTA!$A:$D,3,0),IFERROR(VLOOKUP(B202,'FLOTA TERCEROS'!$A:$D,4,0)&amp;" — "&amp;VLOOKUP(B202,'FLOTA TERCEROS'!$A:$D,3,0),"⚠ No encontrado")))</f>
        <v>AMAROK DC 2.0L TDI 180CV 4X4 — VOLKSWAGEN</v>
      </c>
      <c r="D202" s="38">
        <v>70</v>
      </c>
      <c r="E202" s="39" t="s">
        <v>107</v>
      </c>
      <c r="F202" s="28" t="s">
        <v>121</v>
      </c>
      <c r="G202" s="40" t="s">
        <v>128</v>
      </c>
    </row>
    <row r="203" spans="1:7" ht="18" customHeight="1">
      <c r="A203" s="36">
        <v>45742</v>
      </c>
      <c r="B203" s="37" t="s">
        <v>58</v>
      </c>
      <c r="C203" s="25" t="str">
        <f>IF(B203="","",IFERROR(VLOOKUP(B203,FLOTA!$A:$D,4,0)&amp;" — "&amp;VLOOKUP(B203,FLOTA!$A:$D,3,0),IFERROR(VLOOKUP(B203,'FLOTA TERCEROS'!$A:$D,4,0)&amp;" — "&amp;VLOOKUP(B203,'FLOTA TERCEROS'!$A:$D,3,0),"⚠ No encontrado")))</f>
        <v>SPRINTER 515 CDIC — MERCEDES BENZ</v>
      </c>
      <c r="D203" s="38">
        <v>70</v>
      </c>
      <c r="E203" s="39" t="s">
        <v>107</v>
      </c>
      <c r="F203" s="28" t="s">
        <v>119</v>
      </c>
      <c r="G203" s="40"/>
    </row>
    <row r="204" spans="1:7" ht="18" customHeight="1">
      <c r="A204" s="36">
        <v>45742</v>
      </c>
      <c r="B204" s="37" t="s">
        <v>92</v>
      </c>
      <c r="C204" s="25" t="str">
        <f>IF(B204="","",IFERROR(VLOOKUP(B204,FLOTA!$A:$D,4,0)&amp;" — "&amp;VLOOKUP(B204,FLOTA!$A:$D,3,0),IFERROR(VLOOKUP(B204,'FLOTA TERCEROS'!$A:$D,4,0)&amp;" — "&amp;VLOOKUP(B204,'FLOTA TERCEROS'!$A:$D,3,0),"⚠ No encontrado")))</f>
        <v>→ completar — MERCEDES BENZ</v>
      </c>
      <c r="D204" s="38">
        <v>70</v>
      </c>
      <c r="E204" s="39" t="s">
        <v>107</v>
      </c>
      <c r="F204" s="28" t="s">
        <v>113</v>
      </c>
      <c r="G204" s="40"/>
    </row>
    <row r="205" spans="1:7" ht="18" customHeight="1">
      <c r="A205" s="36">
        <v>45742</v>
      </c>
      <c r="B205" s="37" t="s">
        <v>53</v>
      </c>
      <c r="C205" s="25" t="str">
        <f>IF(B205="","",IFERROR(VLOOKUP(B205,FLOTA!$A:$D,4,0)&amp;" — "&amp;VLOOKUP(B205,FLOTA!$A:$D,3,0),IFERROR(VLOOKUP(B205,'FLOTA TERCEROS'!$A:$D,4,0)&amp;" — "&amp;VLOOKUP(B205,'FLOTA TERCEROS'!$A:$D,3,0),"⚠ No encontrado")))</f>
        <v>AMAROK DC 2.0L TDI 180CV 4X4 — VOLKSWAGEN</v>
      </c>
      <c r="D205" s="38">
        <v>70</v>
      </c>
      <c r="E205" s="39" t="s">
        <v>107</v>
      </c>
      <c r="F205" s="28" t="s">
        <v>121</v>
      </c>
      <c r="G205" s="40" t="s">
        <v>128</v>
      </c>
    </row>
    <row r="206" spans="1:7" ht="18" customHeight="1">
      <c r="A206" s="36">
        <v>45742</v>
      </c>
      <c r="B206" s="37" t="s">
        <v>49</v>
      </c>
      <c r="C206" s="25" t="str">
        <f>IF(B206="","",IFERROR(VLOOKUP(B206,FLOTA!$A:$D,4,0)&amp;" — "&amp;VLOOKUP(B206,FLOTA!$A:$D,3,0),IFERROR(VLOOKUP(B206,'FLOTA TERCEROS'!$A:$D,4,0)&amp;" — "&amp;VLOOKUP(B206,'FLOTA TERCEROS'!$A:$D,3,0),"⚠ No encontrado")))</f>
        <v>AMAROK CD 2.0 4X4 180CV — VOLKSWAGEN</v>
      </c>
      <c r="D206" s="38">
        <v>70</v>
      </c>
      <c r="E206" s="39" t="s">
        <v>107</v>
      </c>
      <c r="F206" s="28" t="s">
        <v>112</v>
      </c>
      <c r="G206" s="40"/>
    </row>
    <row r="207" spans="1:7" ht="18" customHeight="1">
      <c r="A207" s="36">
        <v>45742</v>
      </c>
      <c r="B207" s="37" t="s">
        <v>24</v>
      </c>
      <c r="C207" s="25" t="str">
        <f>IF(B207="","",IFERROR(VLOOKUP(B207,FLOTA!$A:$D,4,0)&amp;" — "&amp;VLOOKUP(B207,FLOTA!$A:$D,3,0),IFERROR(VLOOKUP(B207,'FLOTA TERCEROS'!$A:$D,4,0)&amp;" — "&amp;VLOOKUP(B207,'FLOTA TERCEROS'!$A:$D,3,0),"⚠ No encontrado")))</f>
        <v>RANGER 2 CD 4X4 XLS 3.2L — FORD</v>
      </c>
      <c r="D207" s="38">
        <v>80</v>
      </c>
      <c r="E207" s="39" t="s">
        <v>107</v>
      </c>
      <c r="F207" s="28" t="s">
        <v>108</v>
      </c>
      <c r="G207" s="40"/>
    </row>
    <row r="208" spans="1:7" ht="18" customHeight="1">
      <c r="A208" s="36">
        <v>45744</v>
      </c>
      <c r="B208" s="37" t="s">
        <v>43</v>
      </c>
      <c r="C208" s="25" t="str">
        <f>IF(B208="","",IFERROR(VLOOKUP(B208,FLOTA!$A:$D,4,0)&amp;" — "&amp;VLOOKUP(B208,FLOTA!$A:$D,3,0),IFERROR(VLOOKUP(B208,'FLOTA TERCEROS'!$A:$D,4,0)&amp;" — "&amp;VLOOKUP(B208,'FLOTA TERCEROS'!$A:$D,3,0),"⚠ No encontrado")))</f>
        <v>AMAROK CS 2.0 140CV — VOLKSWAGEN</v>
      </c>
      <c r="D208" s="38">
        <v>70</v>
      </c>
      <c r="E208" s="39" t="s">
        <v>107</v>
      </c>
      <c r="F208" s="28" t="s">
        <v>115</v>
      </c>
      <c r="G208" s="40"/>
    </row>
    <row r="209" spans="1:7" ht="18" customHeight="1">
      <c r="A209" s="36">
        <v>45744</v>
      </c>
      <c r="B209" s="37" t="s">
        <v>53</v>
      </c>
      <c r="C209" s="25" t="str">
        <f>IF(B209="","",IFERROR(VLOOKUP(B209,FLOTA!$A:$D,4,0)&amp;" — "&amp;VLOOKUP(B209,FLOTA!$A:$D,3,0),IFERROR(VLOOKUP(B209,'FLOTA TERCEROS'!$A:$D,4,0)&amp;" — "&amp;VLOOKUP(B209,'FLOTA TERCEROS'!$A:$D,3,0),"⚠ No encontrado")))</f>
        <v>AMAROK DC 2.0L TDI 180CV 4X4 — VOLKSWAGEN</v>
      </c>
      <c r="D209" s="38">
        <v>70</v>
      </c>
      <c r="E209" s="39" t="s">
        <v>107</v>
      </c>
      <c r="F209" s="28" t="s">
        <v>118</v>
      </c>
      <c r="G209" s="40" t="s">
        <v>128</v>
      </c>
    </row>
    <row r="210" spans="1:7" ht="18" customHeight="1">
      <c r="A210" s="36">
        <v>45744</v>
      </c>
      <c r="B210" s="37" t="s">
        <v>81</v>
      </c>
      <c r="C210" s="25" t="str">
        <f>IF(B210="","",IFERROR(VLOOKUP(B210,FLOTA!$A:$D,4,0)&amp;" — "&amp;VLOOKUP(B210,FLOTA!$A:$D,3,0),IFERROR(VLOOKUP(B210,'FLOTA TERCEROS'!$A:$D,4,0)&amp;" — "&amp;VLOOKUP(B210,'FLOTA TERCEROS'!$A:$D,3,0),"⚠ No encontrado")))</f>
        <v>RANGER — FORD</v>
      </c>
      <c r="D210" s="38">
        <v>80</v>
      </c>
      <c r="E210" s="39" t="s">
        <v>107</v>
      </c>
      <c r="F210" s="28" t="s">
        <v>114</v>
      </c>
      <c r="G210" s="40"/>
    </row>
    <row r="211" spans="1:7" ht="18" customHeight="1">
      <c r="A211" s="36">
        <v>45744</v>
      </c>
      <c r="B211" s="37" t="s">
        <v>58</v>
      </c>
      <c r="C211" s="25" t="str">
        <f>IF(B211="","",IFERROR(VLOOKUP(B211,FLOTA!$A:$D,4,0)&amp;" — "&amp;VLOOKUP(B211,FLOTA!$A:$D,3,0),IFERROR(VLOOKUP(B211,'FLOTA TERCEROS'!$A:$D,4,0)&amp;" — "&amp;VLOOKUP(B211,'FLOTA TERCEROS'!$A:$D,3,0),"⚠ No encontrado")))</f>
        <v>SPRINTER 515 CDIC — MERCEDES BENZ</v>
      </c>
      <c r="D211" s="38">
        <v>40</v>
      </c>
      <c r="E211" s="39" t="s">
        <v>107</v>
      </c>
      <c r="F211" s="28" t="s">
        <v>119</v>
      </c>
      <c r="G211" s="40"/>
    </row>
    <row r="212" spans="1:7" ht="18" customHeight="1">
      <c r="A212" s="36">
        <v>45747</v>
      </c>
      <c r="B212" s="37" t="s">
        <v>92</v>
      </c>
      <c r="C212" s="25" t="str">
        <f>IF(B212="","",IFERROR(VLOOKUP(B212,FLOTA!$A:$D,4,0)&amp;" — "&amp;VLOOKUP(B212,FLOTA!$A:$D,3,0),IFERROR(VLOOKUP(B212,'FLOTA TERCEROS'!$A:$D,4,0)&amp;" — "&amp;VLOOKUP(B212,'FLOTA TERCEROS'!$A:$D,3,0),"⚠ No encontrado")))</f>
        <v>→ completar — MERCEDES BENZ</v>
      </c>
      <c r="D212" s="38">
        <v>75</v>
      </c>
      <c r="E212" s="39" t="s">
        <v>107</v>
      </c>
      <c r="F212" s="28" t="s">
        <v>111</v>
      </c>
      <c r="G212" s="40"/>
    </row>
    <row r="213" spans="1:7" ht="18" customHeight="1">
      <c r="A213" s="36">
        <v>45748</v>
      </c>
      <c r="B213" s="37" t="s">
        <v>24</v>
      </c>
      <c r="C213" s="25" t="str">
        <f>IF(B213="","",IFERROR(VLOOKUP(B213,FLOTA!$A:$D,4,0)&amp;" — "&amp;VLOOKUP(B213,FLOTA!$A:$D,3,0),IFERROR(VLOOKUP(B213,'FLOTA TERCEROS'!$A:$D,4,0)&amp;" — "&amp;VLOOKUP(B213,'FLOTA TERCEROS'!$A:$D,3,0),"⚠ No encontrado")))</f>
        <v>RANGER 2 CD 4X4 XLS 3.2L — FORD</v>
      </c>
      <c r="D213" s="38">
        <v>75</v>
      </c>
      <c r="E213" s="39" t="s">
        <v>107</v>
      </c>
      <c r="F213" s="28" t="s">
        <v>108</v>
      </c>
      <c r="G213" s="40"/>
    </row>
    <row r="214" spans="1:7" ht="18" customHeight="1">
      <c r="A214" s="36">
        <v>45748</v>
      </c>
      <c r="B214" s="37" t="s">
        <v>53</v>
      </c>
      <c r="C214" s="25" t="str">
        <f>IF(B214="","",IFERROR(VLOOKUP(B214,FLOTA!$A:$D,4,0)&amp;" — "&amp;VLOOKUP(B214,FLOTA!$A:$D,3,0),IFERROR(VLOOKUP(B214,'FLOTA TERCEROS'!$A:$D,4,0)&amp;" — "&amp;VLOOKUP(B214,'FLOTA TERCEROS'!$A:$D,3,0),"⚠ No encontrado")))</f>
        <v>AMAROK DC 2.0L TDI 180CV 4X4 — VOLKSWAGEN</v>
      </c>
      <c r="D214" s="38">
        <v>80</v>
      </c>
      <c r="E214" s="39" t="s">
        <v>107</v>
      </c>
      <c r="F214" s="28" t="s">
        <v>121</v>
      </c>
      <c r="G214" s="40" t="s">
        <v>128</v>
      </c>
    </row>
    <row r="215" spans="1:7" ht="18" customHeight="1">
      <c r="A215" s="36">
        <v>45748</v>
      </c>
      <c r="B215" s="37" t="s">
        <v>58</v>
      </c>
      <c r="C215" s="25" t="str">
        <f>IF(B215="","",IFERROR(VLOOKUP(B215,FLOTA!$A:$D,4,0)&amp;" — "&amp;VLOOKUP(B215,FLOTA!$A:$D,3,0),IFERROR(VLOOKUP(B215,'FLOTA TERCEROS'!$A:$D,4,0)&amp;" — "&amp;VLOOKUP(B215,'FLOTA TERCEROS'!$A:$D,3,0),"⚠ No encontrado")))</f>
        <v>SPRINTER 515 CDIC — MERCEDES BENZ</v>
      </c>
      <c r="D215" s="38">
        <v>75</v>
      </c>
      <c r="E215" s="39" t="s">
        <v>107</v>
      </c>
      <c r="F215" s="28" t="s">
        <v>119</v>
      </c>
      <c r="G215" s="40"/>
    </row>
    <row r="216" spans="1:7" ht="18" customHeight="1">
      <c r="A216" s="36">
        <v>45749</v>
      </c>
      <c r="B216" s="37" t="s">
        <v>86</v>
      </c>
      <c r="C216" s="25" t="str">
        <f>IF(B216="","",IFERROR(VLOOKUP(B216,FLOTA!$A:$D,4,0)&amp;" — "&amp;VLOOKUP(B216,FLOTA!$A:$D,3,0),IFERROR(VLOOKUP(B216,'FLOTA TERCEROS'!$A:$D,4,0)&amp;" — "&amp;VLOOKUP(B216,'FLOTA TERCEROS'!$A:$D,3,0),"⚠ No encontrado")))</f>
        <v>RANGER — FORD</v>
      </c>
      <c r="D216" s="38">
        <v>65</v>
      </c>
      <c r="E216" s="39" t="s">
        <v>107</v>
      </c>
      <c r="F216" s="28" t="s">
        <v>116</v>
      </c>
      <c r="G216" s="40"/>
    </row>
    <row r="217" spans="1:7" ht="18" customHeight="1">
      <c r="A217" s="36">
        <v>45749</v>
      </c>
      <c r="B217" s="37" t="s">
        <v>49</v>
      </c>
      <c r="C217" s="25" t="str">
        <f>IF(B217="","",IFERROR(VLOOKUP(B217,FLOTA!$A:$D,4,0)&amp;" — "&amp;VLOOKUP(B217,FLOTA!$A:$D,3,0),IFERROR(VLOOKUP(B217,'FLOTA TERCEROS'!$A:$D,4,0)&amp;" — "&amp;VLOOKUP(B217,'FLOTA TERCEROS'!$A:$D,3,0),"⚠ No encontrado")))</f>
        <v>AMAROK CD 2.0 4X4 180CV — VOLKSWAGEN</v>
      </c>
      <c r="D217" s="38">
        <v>70</v>
      </c>
      <c r="E217" s="39" t="s">
        <v>107</v>
      </c>
      <c r="F217" s="28" t="s">
        <v>112</v>
      </c>
      <c r="G217" s="40"/>
    </row>
    <row r="218" spans="1:7" ht="18" customHeight="1">
      <c r="A218" s="36">
        <v>45751</v>
      </c>
      <c r="B218" s="37" t="s">
        <v>53</v>
      </c>
      <c r="C218" s="25" t="str">
        <f>IF(B218="","",IFERROR(VLOOKUP(B218,FLOTA!$A:$D,4,0)&amp;" — "&amp;VLOOKUP(B218,FLOTA!$A:$D,3,0),IFERROR(VLOOKUP(B218,'FLOTA TERCEROS'!$A:$D,4,0)&amp;" — "&amp;VLOOKUP(B218,'FLOTA TERCEROS'!$A:$D,3,0),"⚠ No encontrado")))</f>
        <v>AMAROK DC 2.0L TDI 180CV 4X4 — VOLKSWAGEN</v>
      </c>
      <c r="D218" s="38">
        <v>75</v>
      </c>
      <c r="E218" s="39" t="s">
        <v>107</v>
      </c>
      <c r="F218" s="28" t="s">
        <v>118</v>
      </c>
      <c r="G218" s="40" t="s">
        <v>128</v>
      </c>
    </row>
    <row r="219" spans="1:7" ht="18" customHeight="1">
      <c r="A219" s="36">
        <v>45754</v>
      </c>
      <c r="B219" s="37" t="s">
        <v>58</v>
      </c>
      <c r="C219" s="25" t="str">
        <f>IF(B219="","",IFERROR(VLOOKUP(B219,FLOTA!$A:$D,4,0)&amp;" — "&amp;VLOOKUP(B219,FLOTA!$A:$D,3,0),IFERROR(VLOOKUP(B219,'FLOTA TERCEROS'!$A:$D,4,0)&amp;" — "&amp;VLOOKUP(B219,'FLOTA TERCEROS'!$A:$D,3,0),"⚠ No encontrado")))</f>
        <v>SPRINTER 515 CDIC — MERCEDES BENZ</v>
      </c>
      <c r="D219" s="38">
        <v>60</v>
      </c>
      <c r="E219" s="39" t="s">
        <v>107</v>
      </c>
      <c r="F219" s="28" t="s">
        <v>113</v>
      </c>
      <c r="G219" s="40"/>
    </row>
    <row r="220" spans="1:7" ht="18" customHeight="1">
      <c r="A220" s="36">
        <v>45754</v>
      </c>
      <c r="B220" s="37" t="s">
        <v>92</v>
      </c>
      <c r="C220" s="25" t="str">
        <f>IF(B220="","",IFERROR(VLOOKUP(B220,FLOTA!$A:$D,4,0)&amp;" — "&amp;VLOOKUP(B220,FLOTA!$A:$D,3,0),IFERROR(VLOOKUP(B220,'FLOTA TERCEROS'!$A:$D,4,0)&amp;" — "&amp;VLOOKUP(B220,'FLOTA TERCEROS'!$A:$D,3,0),"⚠ No encontrado")))</f>
        <v>→ completar — MERCEDES BENZ</v>
      </c>
      <c r="D220" s="38">
        <v>65</v>
      </c>
      <c r="E220" s="39" t="s">
        <v>107</v>
      </c>
      <c r="F220" s="28" t="s">
        <v>111</v>
      </c>
      <c r="G220" s="40"/>
    </row>
    <row r="221" spans="1:7" ht="18" customHeight="1">
      <c r="A221" s="36">
        <v>45754</v>
      </c>
      <c r="B221" s="37" t="s">
        <v>53</v>
      </c>
      <c r="C221" s="25" t="str">
        <f>IF(B221="","",IFERROR(VLOOKUP(B221,FLOTA!$A:$D,4,0)&amp;" — "&amp;VLOOKUP(B221,FLOTA!$A:$D,3,0),IFERROR(VLOOKUP(B221,'FLOTA TERCEROS'!$A:$D,4,0)&amp;" — "&amp;VLOOKUP(B221,'FLOTA TERCEROS'!$A:$D,3,0),"⚠ No encontrado")))</f>
        <v>AMAROK DC 2.0L TDI 180CV 4X4 — VOLKSWAGEN</v>
      </c>
      <c r="D221" s="38">
        <v>70</v>
      </c>
      <c r="E221" s="39" t="s">
        <v>107</v>
      </c>
      <c r="F221" s="28" t="s">
        <v>121</v>
      </c>
      <c r="G221" s="40"/>
    </row>
    <row r="222" spans="1:7" ht="18" customHeight="1">
      <c r="A222" s="36">
        <v>45754</v>
      </c>
      <c r="B222" s="37" t="s">
        <v>24</v>
      </c>
      <c r="C222" s="25" t="str">
        <f>IF(B222="","",IFERROR(VLOOKUP(B222,FLOTA!$A:$D,4,0)&amp;" — "&amp;VLOOKUP(B222,FLOTA!$A:$D,3,0),IFERROR(VLOOKUP(B222,'FLOTA TERCEROS'!$A:$D,4,0)&amp;" — "&amp;VLOOKUP(B222,'FLOTA TERCEROS'!$A:$D,3,0),"⚠ No encontrado")))</f>
        <v>RANGER 2 CD 4X4 XLS 3.2L — FORD</v>
      </c>
      <c r="D222" s="38">
        <v>75</v>
      </c>
      <c r="E222" s="39" t="s">
        <v>107</v>
      </c>
      <c r="F222" s="28" t="s">
        <v>108</v>
      </c>
      <c r="G222" s="40"/>
    </row>
    <row r="223" spans="1:7" ht="18" customHeight="1">
      <c r="A223" s="36">
        <v>45754</v>
      </c>
      <c r="B223" s="37" t="s">
        <v>49</v>
      </c>
      <c r="C223" s="25" t="str">
        <f>IF(B223="","",IFERROR(VLOOKUP(B223,FLOTA!$A:$D,4,0)&amp;" — "&amp;VLOOKUP(B223,FLOTA!$A:$D,3,0),IFERROR(VLOOKUP(B223,'FLOTA TERCEROS'!$A:$D,4,0)&amp;" — "&amp;VLOOKUP(B223,'FLOTA TERCEROS'!$A:$D,3,0),"⚠ No encontrado")))</f>
        <v>AMAROK CD 2.0 4X4 180CV — VOLKSWAGEN</v>
      </c>
      <c r="D223" s="38">
        <v>70</v>
      </c>
      <c r="E223" s="39" t="s">
        <v>107</v>
      </c>
      <c r="F223" s="28" t="s">
        <v>112</v>
      </c>
      <c r="G223" s="40"/>
    </row>
    <row r="224" spans="1:7" ht="18" customHeight="1">
      <c r="A224" s="36">
        <v>45754</v>
      </c>
      <c r="B224" s="37" t="s">
        <v>86</v>
      </c>
      <c r="C224" s="25" t="str">
        <f>IF(B224="","",IFERROR(VLOOKUP(B224,FLOTA!$A:$D,4,0)&amp;" — "&amp;VLOOKUP(B224,FLOTA!$A:$D,3,0),IFERROR(VLOOKUP(B224,'FLOTA TERCEROS'!$A:$D,4,0)&amp;" — "&amp;VLOOKUP(B224,'FLOTA TERCEROS'!$A:$D,3,0),"⚠ No encontrado")))</f>
        <v>RANGER — FORD</v>
      </c>
      <c r="D224" s="38">
        <v>65</v>
      </c>
      <c r="E224" s="39" t="s">
        <v>107</v>
      </c>
      <c r="F224" s="28" t="s">
        <v>116</v>
      </c>
      <c r="G224" s="40"/>
    </row>
    <row r="225" spans="1:7" ht="18" customHeight="1">
      <c r="A225" s="36">
        <v>45756</v>
      </c>
      <c r="B225" s="37" t="s">
        <v>81</v>
      </c>
      <c r="C225" s="25" t="str">
        <f>IF(B225="","",IFERROR(VLOOKUP(B225,FLOTA!$A:$D,4,0)&amp;" — "&amp;VLOOKUP(B225,FLOTA!$A:$D,3,0),IFERROR(VLOOKUP(B225,'FLOTA TERCEROS'!$A:$D,4,0)&amp;" — "&amp;VLOOKUP(B225,'FLOTA TERCEROS'!$A:$D,3,0),"⚠ No encontrado")))</f>
        <v>RANGER — FORD</v>
      </c>
      <c r="D225" s="38">
        <v>75</v>
      </c>
      <c r="E225" s="39" t="s">
        <v>107</v>
      </c>
      <c r="F225" s="28" t="s">
        <v>121</v>
      </c>
      <c r="G225" s="40"/>
    </row>
    <row r="226" spans="1:7" ht="18" customHeight="1">
      <c r="A226" s="36">
        <v>45757</v>
      </c>
      <c r="B226" s="37" t="s">
        <v>92</v>
      </c>
      <c r="C226" s="25" t="str">
        <f>IF(B226="","",IFERROR(VLOOKUP(B226,FLOTA!$A:$D,4,0)&amp;" — "&amp;VLOOKUP(B226,FLOTA!$A:$D,3,0),IFERROR(VLOOKUP(B226,'FLOTA TERCEROS'!$A:$D,4,0)&amp;" — "&amp;VLOOKUP(B226,'FLOTA TERCEROS'!$A:$D,3,0),"⚠ No encontrado")))</f>
        <v>→ completar — MERCEDES BENZ</v>
      </c>
      <c r="D226" s="38">
        <v>50</v>
      </c>
      <c r="E226" s="39" t="s">
        <v>107</v>
      </c>
      <c r="F226" s="28" t="s">
        <v>111</v>
      </c>
      <c r="G226" s="40"/>
    </row>
    <row r="227" spans="1:7" ht="18" customHeight="1">
      <c r="A227" s="36">
        <v>45757</v>
      </c>
      <c r="B227" s="37" t="s">
        <v>53</v>
      </c>
      <c r="C227" s="25" t="str">
        <f>IF(B227="","",IFERROR(VLOOKUP(B227,FLOTA!$A:$D,4,0)&amp;" — "&amp;VLOOKUP(B227,FLOTA!$A:$D,3,0),IFERROR(VLOOKUP(B227,'FLOTA TERCEROS'!$A:$D,4,0)&amp;" — "&amp;VLOOKUP(B227,'FLOTA TERCEROS'!$A:$D,3,0),"⚠ No encontrado")))</f>
        <v>AMAROK DC 2.0L TDI 180CV 4X4 — VOLKSWAGEN</v>
      </c>
      <c r="D227" s="38">
        <v>70</v>
      </c>
      <c r="E227" s="39" t="s">
        <v>107</v>
      </c>
      <c r="F227" s="28" t="s">
        <v>112</v>
      </c>
      <c r="G227" s="40"/>
    </row>
    <row r="228" spans="1:7" ht="18" customHeight="1">
      <c r="A228" s="36">
        <v>45758</v>
      </c>
      <c r="B228" s="37" t="s">
        <v>58</v>
      </c>
      <c r="C228" s="25" t="str">
        <f>IF(B228="","",IFERROR(VLOOKUP(B228,FLOTA!$A:$D,4,0)&amp;" — "&amp;VLOOKUP(B228,FLOTA!$A:$D,3,0),IFERROR(VLOOKUP(B228,'FLOTA TERCEROS'!$A:$D,4,0)&amp;" — "&amp;VLOOKUP(B228,'FLOTA TERCEROS'!$A:$D,3,0),"⚠ No encontrado")))</f>
        <v>SPRINTER 515 CDIC — MERCEDES BENZ</v>
      </c>
      <c r="D228" s="38">
        <v>75</v>
      </c>
      <c r="E228" s="39" t="s">
        <v>107</v>
      </c>
      <c r="F228" s="28" t="s">
        <v>119</v>
      </c>
      <c r="G228" s="40"/>
    </row>
    <row r="229" spans="1:7" ht="18" customHeight="1">
      <c r="A229" s="36">
        <v>45758</v>
      </c>
      <c r="B229" s="37" t="s">
        <v>43</v>
      </c>
      <c r="C229" s="25" t="str">
        <f>IF(B229="","",IFERROR(VLOOKUP(B229,FLOTA!$A:$D,4,0)&amp;" — "&amp;VLOOKUP(B229,FLOTA!$A:$D,3,0),IFERROR(VLOOKUP(B229,'FLOTA TERCEROS'!$A:$D,4,0)&amp;" — "&amp;VLOOKUP(B229,'FLOTA TERCEROS'!$A:$D,3,0),"⚠ No encontrado")))</f>
        <v>AMAROK CS 2.0 140CV — VOLKSWAGEN</v>
      </c>
      <c r="D229" s="38">
        <v>75</v>
      </c>
      <c r="E229" s="39" t="s">
        <v>107</v>
      </c>
      <c r="F229" s="28" t="s">
        <v>118</v>
      </c>
      <c r="G229" s="40" t="s">
        <v>128</v>
      </c>
    </row>
    <row r="230" spans="1:7" ht="18" customHeight="1">
      <c r="A230" s="36">
        <v>45758</v>
      </c>
      <c r="B230" s="37" t="s">
        <v>49</v>
      </c>
      <c r="C230" s="25" t="str">
        <f>IF(B230="","",IFERROR(VLOOKUP(B230,FLOTA!$A:$D,4,0)&amp;" — "&amp;VLOOKUP(B230,FLOTA!$A:$D,3,0),IFERROR(VLOOKUP(B230,'FLOTA TERCEROS'!$A:$D,4,0)&amp;" — "&amp;VLOOKUP(B230,'FLOTA TERCEROS'!$A:$D,3,0),"⚠ No encontrado")))</f>
        <v>AMAROK CD 2.0 4X4 180CV — VOLKSWAGEN</v>
      </c>
      <c r="D230" s="38">
        <v>60</v>
      </c>
      <c r="E230" s="39" t="s">
        <v>107</v>
      </c>
      <c r="F230" s="28" t="s">
        <v>113</v>
      </c>
      <c r="G230" s="40"/>
    </row>
    <row r="231" spans="1:7" ht="18" customHeight="1">
      <c r="A231" s="36">
        <v>45761</v>
      </c>
      <c r="B231" s="37" t="s">
        <v>92</v>
      </c>
      <c r="C231" s="25" t="str">
        <f>IF(B231="","",IFERROR(VLOOKUP(B231,FLOTA!$A:$D,4,0)&amp;" — "&amp;VLOOKUP(B231,FLOTA!$A:$D,3,0),IFERROR(VLOOKUP(B231,'FLOTA TERCEROS'!$A:$D,4,0)&amp;" — "&amp;VLOOKUP(B231,'FLOTA TERCEROS'!$A:$D,3,0),"⚠ No encontrado")))</f>
        <v>→ completar — MERCEDES BENZ</v>
      </c>
      <c r="D231" s="38">
        <v>75</v>
      </c>
      <c r="E231" s="39" t="s">
        <v>107</v>
      </c>
      <c r="F231" s="28" t="s">
        <v>111</v>
      </c>
      <c r="G231" s="40"/>
    </row>
    <row r="232" spans="1:7" ht="18" customHeight="1">
      <c r="A232" s="36">
        <v>45761</v>
      </c>
      <c r="B232" s="37" t="s">
        <v>81</v>
      </c>
      <c r="C232" s="25" t="str">
        <f>IF(B232="","",IFERROR(VLOOKUP(B232,FLOTA!$A:$D,4,0)&amp;" — "&amp;VLOOKUP(B232,FLOTA!$A:$D,3,0),IFERROR(VLOOKUP(B232,'FLOTA TERCEROS'!$A:$D,4,0)&amp;" — "&amp;VLOOKUP(B232,'FLOTA TERCEROS'!$A:$D,3,0),"⚠ No encontrado")))</f>
        <v>RANGER — FORD</v>
      </c>
      <c r="D232" s="38">
        <v>70</v>
      </c>
      <c r="E232" s="39" t="s">
        <v>107</v>
      </c>
      <c r="F232" s="28" t="s">
        <v>124</v>
      </c>
      <c r="G232" s="40" t="s">
        <v>132</v>
      </c>
    </row>
    <row r="233" spans="1:7" ht="18" customHeight="1">
      <c r="A233" s="36">
        <v>45761</v>
      </c>
      <c r="B233" s="37" t="s">
        <v>36</v>
      </c>
      <c r="C233" s="25" t="str">
        <f>IF(B233="","",IFERROR(VLOOKUP(B233,FLOTA!$A:$D,4,0)&amp;" — "&amp;VLOOKUP(B233,FLOTA!$A:$D,3,0),IFERROR(VLOOKUP(B233,'FLOTA TERCEROS'!$A:$D,4,0)&amp;" — "&amp;VLOOKUP(B233,'FLOTA TERCEROS'!$A:$D,3,0),"⚠ No encontrado")))</f>
        <v>HILUX 4X2 CD SRV 3.0 — TOYOTA</v>
      </c>
      <c r="D233" s="38">
        <v>80</v>
      </c>
      <c r="E233" s="39" t="s">
        <v>107</v>
      </c>
      <c r="F233" s="28" t="s">
        <v>112</v>
      </c>
      <c r="G233" s="40"/>
    </row>
    <row r="234" spans="1:7" ht="18" customHeight="1">
      <c r="A234" s="36">
        <v>45761</v>
      </c>
      <c r="B234" s="37" t="s">
        <v>86</v>
      </c>
      <c r="C234" s="25" t="str">
        <f>IF(B234="","",IFERROR(VLOOKUP(B234,FLOTA!$A:$D,4,0)&amp;" — "&amp;VLOOKUP(B234,FLOTA!$A:$D,3,0),IFERROR(VLOOKUP(B234,'FLOTA TERCEROS'!$A:$D,4,0)&amp;" — "&amp;VLOOKUP(B234,'FLOTA TERCEROS'!$A:$D,3,0),"⚠ No encontrado")))</f>
        <v>RANGER — FORD</v>
      </c>
      <c r="D234" s="38">
        <v>60</v>
      </c>
      <c r="E234" s="39" t="s">
        <v>107</v>
      </c>
      <c r="F234" s="28" t="s">
        <v>116</v>
      </c>
      <c r="G234" s="40"/>
    </row>
    <row r="235" spans="1:7" ht="18" customHeight="1">
      <c r="A235" s="36">
        <v>45762</v>
      </c>
      <c r="B235" s="37" t="s">
        <v>24</v>
      </c>
      <c r="C235" s="25" t="str">
        <f>IF(B235="","",IFERROR(VLOOKUP(B235,FLOTA!$A:$D,4,0)&amp;" — "&amp;VLOOKUP(B235,FLOTA!$A:$D,3,0),IFERROR(VLOOKUP(B235,'FLOTA TERCEROS'!$A:$D,4,0)&amp;" — "&amp;VLOOKUP(B235,'FLOTA TERCEROS'!$A:$D,3,0),"⚠ No encontrado")))</f>
        <v>RANGER 2 CD 4X4 XLS 3.2L — FORD</v>
      </c>
      <c r="D235" s="38">
        <v>70</v>
      </c>
      <c r="E235" s="39" t="s">
        <v>107</v>
      </c>
      <c r="F235" s="28" t="s">
        <v>108</v>
      </c>
      <c r="G235" s="40"/>
    </row>
    <row r="236" spans="1:7" ht="18" customHeight="1">
      <c r="A236" s="36">
        <v>45763</v>
      </c>
      <c r="B236" s="37" t="s">
        <v>49</v>
      </c>
      <c r="C236" s="25" t="str">
        <f>IF(B236="","",IFERROR(VLOOKUP(B236,FLOTA!$A:$D,4,0)&amp;" — "&amp;VLOOKUP(B236,FLOTA!$A:$D,3,0),IFERROR(VLOOKUP(B236,'FLOTA TERCEROS'!$A:$D,4,0)&amp;" — "&amp;VLOOKUP(B236,'FLOTA TERCEROS'!$A:$D,3,0),"⚠ No encontrado")))</f>
        <v>AMAROK CD 2.0 4X4 180CV — VOLKSWAGEN</v>
      </c>
      <c r="D236" s="38">
        <v>70</v>
      </c>
      <c r="E236" s="39" t="s">
        <v>107</v>
      </c>
      <c r="F236" s="28" t="s">
        <v>113</v>
      </c>
      <c r="G236" s="40"/>
    </row>
    <row r="237" spans="1:7" ht="18" customHeight="1">
      <c r="A237" s="36">
        <v>45763</v>
      </c>
      <c r="B237" s="37" t="s">
        <v>58</v>
      </c>
      <c r="C237" s="25" t="str">
        <f>IF(B237="","",IFERROR(VLOOKUP(B237,FLOTA!$A:$D,4,0)&amp;" — "&amp;VLOOKUP(B237,FLOTA!$A:$D,3,0),IFERROR(VLOOKUP(B237,'FLOTA TERCEROS'!$A:$D,4,0)&amp;" — "&amp;VLOOKUP(B237,'FLOTA TERCEROS'!$A:$D,3,0),"⚠ No encontrado")))</f>
        <v>SPRINTER 515 CDIC — MERCEDES BENZ</v>
      </c>
      <c r="D237" s="38">
        <v>70</v>
      </c>
      <c r="E237" s="39" t="s">
        <v>107</v>
      </c>
      <c r="F237" s="28" t="s">
        <v>119</v>
      </c>
      <c r="G237" s="40"/>
    </row>
    <row r="238" spans="1:7" ht="18" customHeight="1">
      <c r="A238" s="36">
        <v>45764</v>
      </c>
      <c r="B238" s="37" t="s">
        <v>43</v>
      </c>
      <c r="C238" s="25" t="str">
        <f>IF(B238="","",IFERROR(VLOOKUP(B238,FLOTA!$A:$D,4,0)&amp;" — "&amp;VLOOKUP(B238,FLOTA!$A:$D,3,0),IFERROR(VLOOKUP(B238,'FLOTA TERCEROS'!$A:$D,4,0)&amp;" — "&amp;VLOOKUP(B238,'FLOTA TERCEROS'!$A:$D,3,0),"⚠ No encontrado")))</f>
        <v>AMAROK CS 2.0 140CV — VOLKSWAGEN</v>
      </c>
      <c r="D238" s="38">
        <v>50</v>
      </c>
      <c r="E238" s="39" t="s">
        <v>107</v>
      </c>
      <c r="F238" s="28" t="s">
        <v>118</v>
      </c>
      <c r="G238" s="40" t="s">
        <v>128</v>
      </c>
    </row>
    <row r="239" spans="1:7" ht="18" customHeight="1">
      <c r="A239" s="36">
        <v>45768</v>
      </c>
      <c r="B239" s="37" t="s">
        <v>92</v>
      </c>
      <c r="C239" s="25" t="str">
        <f>IF(B239="","",IFERROR(VLOOKUP(B239,FLOTA!$A:$D,4,0)&amp;" — "&amp;VLOOKUP(B239,FLOTA!$A:$D,3,0),IFERROR(VLOOKUP(B239,'FLOTA TERCEROS'!$A:$D,4,0)&amp;" — "&amp;VLOOKUP(B239,'FLOTA TERCEROS'!$A:$D,3,0),"⚠ No encontrado")))</f>
        <v>→ completar — MERCEDES BENZ</v>
      </c>
      <c r="D239" s="38">
        <v>70</v>
      </c>
      <c r="E239" s="39" t="s">
        <v>107</v>
      </c>
      <c r="F239" s="28" t="s">
        <v>111</v>
      </c>
      <c r="G239" s="40"/>
    </row>
    <row r="240" spans="1:7" ht="18" customHeight="1">
      <c r="A240" s="36">
        <v>45768</v>
      </c>
      <c r="B240" s="37" t="s">
        <v>81</v>
      </c>
      <c r="C240" s="25" t="str">
        <f>IF(B240="","",IFERROR(VLOOKUP(B240,FLOTA!$A:$D,4,0)&amp;" — "&amp;VLOOKUP(B240,FLOTA!$A:$D,3,0),IFERROR(VLOOKUP(B240,'FLOTA TERCEROS'!$A:$D,4,0)&amp;" — "&amp;VLOOKUP(B240,'FLOTA TERCEROS'!$A:$D,3,0),"⚠ No encontrado")))</f>
        <v>RANGER — FORD</v>
      </c>
      <c r="D240" s="38">
        <v>70</v>
      </c>
      <c r="E240" s="39" t="s">
        <v>107</v>
      </c>
      <c r="F240" s="28" t="s">
        <v>124</v>
      </c>
      <c r="G240" s="40"/>
    </row>
    <row r="241" spans="1:7" ht="18" customHeight="1">
      <c r="A241" s="36">
        <v>45768</v>
      </c>
      <c r="B241" s="37" t="s">
        <v>36</v>
      </c>
      <c r="C241" s="25" t="str">
        <f>IF(B241="","",IFERROR(VLOOKUP(B241,FLOTA!$A:$D,4,0)&amp;" — "&amp;VLOOKUP(B241,FLOTA!$A:$D,3,0),IFERROR(VLOOKUP(B241,'FLOTA TERCEROS'!$A:$D,4,0)&amp;" — "&amp;VLOOKUP(B241,'FLOTA TERCEROS'!$A:$D,3,0),"⚠ No encontrado")))</f>
        <v>HILUX 4X2 CD SRV 3.0 — TOYOTA</v>
      </c>
      <c r="D241" s="38">
        <v>70</v>
      </c>
      <c r="E241" s="39" t="s">
        <v>107</v>
      </c>
      <c r="F241" s="28" t="s">
        <v>119</v>
      </c>
      <c r="G241" s="40"/>
    </row>
    <row r="242" spans="1:7" ht="18" customHeight="1">
      <c r="A242" s="36">
        <v>45769</v>
      </c>
      <c r="B242" s="37" t="s">
        <v>24</v>
      </c>
      <c r="C242" s="25" t="str">
        <f>IF(B242="","",IFERROR(VLOOKUP(B242,FLOTA!$A:$D,4,0)&amp;" — "&amp;VLOOKUP(B242,FLOTA!$A:$D,3,0),IFERROR(VLOOKUP(B242,'FLOTA TERCEROS'!$A:$D,4,0)&amp;" — "&amp;VLOOKUP(B242,'FLOTA TERCEROS'!$A:$D,3,0),"⚠ No encontrado")))</f>
        <v>RANGER 2 CD 4X4 XLS 3.2L — FORD</v>
      </c>
      <c r="D242" s="38">
        <v>70</v>
      </c>
      <c r="E242" s="39" t="s">
        <v>107</v>
      </c>
      <c r="F242" s="28" t="s">
        <v>108</v>
      </c>
      <c r="G242" s="40"/>
    </row>
    <row r="243" spans="1:7" ht="18" customHeight="1">
      <c r="A243" s="36">
        <v>45770</v>
      </c>
      <c r="B243" s="37" t="s">
        <v>58</v>
      </c>
      <c r="C243" s="25" t="str">
        <f>IF(B243="","",IFERROR(VLOOKUP(B243,FLOTA!$A:$D,4,0)&amp;" — "&amp;VLOOKUP(B243,FLOTA!$A:$D,3,0),IFERROR(VLOOKUP(B243,'FLOTA TERCEROS'!$A:$D,4,0)&amp;" — "&amp;VLOOKUP(B243,'FLOTA TERCEROS'!$A:$D,3,0),"⚠ No encontrado")))</f>
        <v>SPRINTER 515 CDIC — MERCEDES BENZ</v>
      </c>
      <c r="D243" s="38">
        <v>65</v>
      </c>
      <c r="E243" s="39" t="s">
        <v>107</v>
      </c>
      <c r="F243" s="28" t="s">
        <v>113</v>
      </c>
      <c r="G243" s="40"/>
    </row>
    <row r="244" spans="1:7" ht="18" customHeight="1">
      <c r="A244" s="36">
        <v>45770</v>
      </c>
      <c r="B244" s="37" t="s">
        <v>36</v>
      </c>
      <c r="C244" s="25" t="str">
        <f>IF(B244="","",IFERROR(VLOOKUP(B244,FLOTA!$A:$D,4,0)&amp;" — "&amp;VLOOKUP(B244,FLOTA!$A:$D,3,0),IFERROR(VLOOKUP(B244,'FLOTA TERCEROS'!$A:$D,4,0)&amp;" — "&amp;VLOOKUP(B244,'FLOTA TERCEROS'!$A:$D,3,0),"⚠ No encontrado")))</f>
        <v>HILUX 4X2 CD SRV 3.0 — TOYOTA</v>
      </c>
      <c r="D244" s="38">
        <v>57</v>
      </c>
      <c r="E244" s="39" t="s">
        <v>107</v>
      </c>
      <c r="F244" s="28" t="s">
        <v>118</v>
      </c>
      <c r="G244" s="40"/>
    </row>
    <row r="245" spans="1:7" ht="18" customHeight="1">
      <c r="A245" s="36">
        <v>45770</v>
      </c>
      <c r="B245" s="37" t="s">
        <v>43</v>
      </c>
      <c r="C245" s="25" t="str">
        <f>IF(B245="","",IFERROR(VLOOKUP(B245,FLOTA!$A:$D,4,0)&amp;" — "&amp;VLOOKUP(B245,FLOTA!$A:$D,3,0),IFERROR(VLOOKUP(B245,'FLOTA TERCEROS'!$A:$D,4,0)&amp;" — "&amp;VLOOKUP(B245,'FLOTA TERCEROS'!$A:$D,3,0),"⚠ No encontrado")))</f>
        <v>AMAROK CS 2.0 140CV — VOLKSWAGEN</v>
      </c>
      <c r="D245" s="38">
        <v>80</v>
      </c>
      <c r="E245" s="39" t="s">
        <v>107</v>
      </c>
      <c r="F245" s="28" t="s">
        <v>114</v>
      </c>
      <c r="G245" s="40"/>
    </row>
    <row r="246" spans="1:7" ht="18" customHeight="1">
      <c r="A246" s="36">
        <v>45771</v>
      </c>
      <c r="B246" s="37" t="s">
        <v>49</v>
      </c>
      <c r="C246" s="25" t="str">
        <f>IF(B246="","",IFERROR(VLOOKUP(B246,FLOTA!$A:$D,4,0)&amp;" — "&amp;VLOOKUP(B246,FLOTA!$A:$D,3,0),IFERROR(VLOOKUP(B246,'FLOTA TERCEROS'!$A:$D,4,0)&amp;" — "&amp;VLOOKUP(B246,'FLOTA TERCEROS'!$A:$D,3,0),"⚠ No encontrado")))</f>
        <v>AMAROK CD 2.0 4X4 180CV — VOLKSWAGEN</v>
      </c>
      <c r="D246" s="38">
        <v>60</v>
      </c>
      <c r="E246" s="39" t="s">
        <v>107</v>
      </c>
      <c r="F246" s="28" t="s">
        <v>113</v>
      </c>
      <c r="G246" s="40"/>
    </row>
    <row r="247" spans="1:7" ht="18" customHeight="1">
      <c r="A247" s="36">
        <v>45771</v>
      </c>
      <c r="B247" s="37" t="s">
        <v>92</v>
      </c>
      <c r="C247" s="25" t="str">
        <f>IF(B247="","",IFERROR(VLOOKUP(B247,FLOTA!$A:$D,4,0)&amp;" — "&amp;VLOOKUP(B247,FLOTA!$A:$D,3,0),IFERROR(VLOOKUP(B247,'FLOTA TERCEROS'!$A:$D,4,0)&amp;" — "&amp;VLOOKUP(B247,'FLOTA TERCEROS'!$A:$D,3,0),"⚠ No encontrado")))</f>
        <v>→ completar — MERCEDES BENZ</v>
      </c>
      <c r="D247" s="38">
        <v>40</v>
      </c>
      <c r="E247" s="39" t="s">
        <v>107</v>
      </c>
      <c r="F247" s="28" t="s">
        <v>111</v>
      </c>
      <c r="G247" s="40"/>
    </row>
    <row r="248" spans="1:7" ht="18" customHeight="1">
      <c r="A248" s="36">
        <v>45772</v>
      </c>
      <c r="B248" s="37" t="s">
        <v>81</v>
      </c>
      <c r="C248" s="25" t="str">
        <f>IF(B248="","",IFERROR(VLOOKUP(B248,FLOTA!$A:$D,4,0)&amp;" — "&amp;VLOOKUP(B248,FLOTA!$A:$D,3,0),IFERROR(VLOOKUP(B248,'FLOTA TERCEROS'!$A:$D,4,0)&amp;" — "&amp;VLOOKUP(B248,'FLOTA TERCEROS'!$A:$D,3,0),"⚠ No encontrado")))</f>
        <v>RANGER — FORD</v>
      </c>
      <c r="D248" s="38">
        <v>70</v>
      </c>
      <c r="E248" s="39" t="s">
        <v>107</v>
      </c>
      <c r="F248" s="28" t="s">
        <v>118</v>
      </c>
      <c r="G248" s="40"/>
    </row>
    <row r="249" spans="1:7" ht="18" customHeight="1">
      <c r="A249" s="36">
        <v>45772</v>
      </c>
      <c r="B249" s="37" t="s">
        <v>86</v>
      </c>
      <c r="C249" s="25" t="str">
        <f>IF(B249="","",IFERROR(VLOOKUP(B249,FLOTA!$A:$D,4,0)&amp;" — "&amp;VLOOKUP(B249,FLOTA!$A:$D,3,0),IFERROR(VLOOKUP(B249,'FLOTA TERCEROS'!$A:$D,4,0)&amp;" — "&amp;VLOOKUP(B249,'FLOTA TERCEROS'!$A:$D,3,0),"⚠ No encontrado")))</f>
        <v>RANGER — FORD</v>
      </c>
      <c r="D249" s="38">
        <v>70</v>
      </c>
      <c r="E249" s="39" t="s">
        <v>107</v>
      </c>
      <c r="F249" s="28" t="s">
        <v>116</v>
      </c>
      <c r="G249" s="40"/>
    </row>
    <row r="250" spans="1:7" ht="18" customHeight="1">
      <c r="A250" s="36">
        <v>45773</v>
      </c>
      <c r="B250" s="37" t="s">
        <v>58</v>
      </c>
      <c r="C250" s="25" t="str">
        <f>IF(B250="","",IFERROR(VLOOKUP(B250,FLOTA!$A:$D,4,0)&amp;" — "&amp;VLOOKUP(B250,FLOTA!$A:$D,3,0),IFERROR(VLOOKUP(B250,'FLOTA TERCEROS'!$A:$D,4,0)&amp;" — "&amp;VLOOKUP(B250,'FLOTA TERCEROS'!$A:$D,3,0),"⚠ No encontrado")))</f>
        <v>SPRINTER 515 CDIC — MERCEDES BENZ</v>
      </c>
      <c r="D250" s="38">
        <v>50</v>
      </c>
      <c r="E250" s="39" t="s">
        <v>107</v>
      </c>
      <c r="F250" s="28" t="s">
        <v>113</v>
      </c>
      <c r="G250" s="40"/>
    </row>
    <row r="251" spans="1:7" ht="18" customHeight="1">
      <c r="A251" s="36">
        <v>45773</v>
      </c>
      <c r="B251" s="37" t="s">
        <v>36</v>
      </c>
      <c r="C251" s="25" t="str">
        <f>IF(B251="","",IFERROR(VLOOKUP(B251,FLOTA!$A:$D,4,0)&amp;" — "&amp;VLOOKUP(B251,FLOTA!$A:$D,3,0),IFERROR(VLOOKUP(B251,'FLOTA TERCEROS'!$A:$D,4,0)&amp;" — "&amp;VLOOKUP(B251,'FLOTA TERCEROS'!$A:$D,3,0),"⚠ No encontrado")))</f>
        <v>HILUX 4X2 CD SRV 3.0 — TOYOTA</v>
      </c>
      <c r="D251" s="38">
        <v>60</v>
      </c>
      <c r="E251" s="39" t="s">
        <v>107</v>
      </c>
      <c r="F251" s="28" t="s">
        <v>121</v>
      </c>
      <c r="G251" s="40"/>
    </row>
    <row r="252" spans="1:7" ht="18" customHeight="1">
      <c r="A252" s="36">
        <v>45775</v>
      </c>
      <c r="B252" s="37" t="s">
        <v>92</v>
      </c>
      <c r="C252" s="25" t="str">
        <f>IF(B252="","",IFERROR(VLOOKUP(B252,FLOTA!$A:$D,4,0)&amp;" — "&amp;VLOOKUP(B252,FLOTA!$A:$D,3,0),IFERROR(VLOOKUP(B252,'FLOTA TERCEROS'!$A:$D,4,0)&amp;" — "&amp;VLOOKUP(B252,'FLOTA TERCEROS'!$A:$D,3,0),"⚠ No encontrado")))</f>
        <v>→ completar — MERCEDES BENZ</v>
      </c>
      <c r="D252" s="38">
        <v>65</v>
      </c>
      <c r="E252" s="39" t="s">
        <v>107</v>
      </c>
      <c r="F252" s="28" t="s">
        <v>119</v>
      </c>
      <c r="G252" s="40"/>
    </row>
    <row r="253" spans="1:7" ht="18" customHeight="1">
      <c r="A253" s="36">
        <v>45775</v>
      </c>
      <c r="B253" s="37" t="s">
        <v>24</v>
      </c>
      <c r="C253" s="25" t="str">
        <f>IF(B253="","",IFERROR(VLOOKUP(B253,FLOTA!$A:$D,4,0)&amp;" — "&amp;VLOOKUP(B253,FLOTA!$A:$D,3,0),IFERROR(VLOOKUP(B253,'FLOTA TERCEROS'!$A:$D,4,0)&amp;" — "&amp;VLOOKUP(B253,'FLOTA TERCEROS'!$A:$D,3,0),"⚠ No encontrado")))</f>
        <v>RANGER 2 CD 4X4 XLS 3.2L — FORD</v>
      </c>
      <c r="D253" s="38">
        <v>70</v>
      </c>
      <c r="E253" s="39" t="s">
        <v>107</v>
      </c>
      <c r="F253" s="28" t="s">
        <v>108</v>
      </c>
      <c r="G253" s="40"/>
    </row>
    <row r="254" spans="1:7" ht="18" customHeight="1">
      <c r="A254" s="36">
        <v>45776</v>
      </c>
      <c r="B254" s="37" t="s">
        <v>49</v>
      </c>
      <c r="C254" s="25" t="str">
        <f>IF(B254="","",IFERROR(VLOOKUP(B254,FLOTA!$A:$D,4,0)&amp;" — "&amp;VLOOKUP(B254,FLOTA!$A:$D,3,0),IFERROR(VLOOKUP(B254,'FLOTA TERCEROS'!$A:$D,4,0)&amp;" — "&amp;VLOOKUP(B254,'FLOTA TERCEROS'!$A:$D,3,0),"⚠ No encontrado")))</f>
        <v>AMAROK CD 2.0 4X4 180CV — VOLKSWAGEN</v>
      </c>
      <c r="D254" s="38">
        <v>70</v>
      </c>
      <c r="E254" s="39" t="s">
        <v>107</v>
      </c>
      <c r="F254" s="28" t="s">
        <v>112</v>
      </c>
      <c r="G254" s="40"/>
    </row>
    <row r="255" spans="1:7" ht="18" customHeight="1">
      <c r="A255" s="36">
        <v>45776</v>
      </c>
      <c r="B255" s="37" t="s">
        <v>81</v>
      </c>
      <c r="C255" s="25" t="str">
        <f>IF(B255="","",IFERROR(VLOOKUP(B255,FLOTA!$A:$D,4,0)&amp;" — "&amp;VLOOKUP(B255,FLOTA!$A:$D,3,0),IFERROR(VLOOKUP(B255,'FLOTA TERCEROS'!$A:$D,4,0)&amp;" — "&amp;VLOOKUP(B255,'FLOTA TERCEROS'!$A:$D,3,0),"⚠ No encontrado")))</f>
        <v>RANGER — FORD</v>
      </c>
      <c r="D255" s="38">
        <v>70</v>
      </c>
      <c r="E255" s="39" t="s">
        <v>107</v>
      </c>
      <c r="F255" s="28" t="s">
        <v>114</v>
      </c>
      <c r="G255" s="40"/>
    </row>
    <row r="256" spans="1:7" ht="18" customHeight="1">
      <c r="A256" s="36">
        <v>45777</v>
      </c>
      <c r="B256" s="37" t="s">
        <v>43</v>
      </c>
      <c r="C256" s="25" t="str">
        <f>IF(B256="","",IFERROR(VLOOKUP(B256,FLOTA!$A:$D,4,0)&amp;" — "&amp;VLOOKUP(B256,FLOTA!$A:$D,3,0),IFERROR(VLOOKUP(B256,'FLOTA TERCEROS'!$A:$D,4,0)&amp;" — "&amp;VLOOKUP(B256,'FLOTA TERCEROS'!$A:$D,3,0),"⚠ No encontrado")))</f>
        <v>AMAROK CS 2.0 140CV — VOLKSWAGEN</v>
      </c>
      <c r="D256" s="38">
        <v>80</v>
      </c>
      <c r="E256" s="39" t="s">
        <v>107</v>
      </c>
      <c r="F256" s="28" t="s">
        <v>118</v>
      </c>
      <c r="G256" s="40"/>
    </row>
    <row r="257" spans="1:7" ht="18" customHeight="1">
      <c r="A257" s="36">
        <v>45780</v>
      </c>
      <c r="B257" s="37" t="s">
        <v>43</v>
      </c>
      <c r="C257" s="25" t="str">
        <f>IF(B257="","",IFERROR(VLOOKUP(B257,FLOTA!$A:$D,4,0)&amp;" — "&amp;VLOOKUP(B257,FLOTA!$A:$D,3,0),IFERROR(VLOOKUP(B257,'FLOTA TERCEROS'!$A:$D,4,0)&amp;" — "&amp;VLOOKUP(B257,'FLOTA TERCEROS'!$A:$D,3,0),"⚠ No encontrado")))</f>
        <v>AMAROK CS 2.0 140CV — VOLKSWAGEN</v>
      </c>
      <c r="D257" s="38">
        <v>55</v>
      </c>
      <c r="E257" s="39" t="s">
        <v>107</v>
      </c>
      <c r="F257" s="28" t="s">
        <v>118</v>
      </c>
      <c r="G257" s="40"/>
    </row>
    <row r="258" spans="1:7" ht="18" customHeight="1">
      <c r="A258" s="36">
        <v>45782</v>
      </c>
      <c r="B258" s="37" t="s">
        <v>24</v>
      </c>
      <c r="C258" s="25" t="str">
        <f>IF(B258="","",IFERROR(VLOOKUP(B258,FLOTA!$A:$D,4,0)&amp;" — "&amp;VLOOKUP(B258,FLOTA!$A:$D,3,0),IFERROR(VLOOKUP(B258,'FLOTA TERCEROS'!$A:$D,4,0)&amp;" — "&amp;VLOOKUP(B258,'FLOTA TERCEROS'!$A:$D,3,0),"⚠ No encontrado")))</f>
        <v>RANGER 2 CD 4X4 XLS 3.2L — FORD</v>
      </c>
      <c r="D258" s="38">
        <v>75</v>
      </c>
      <c r="E258" s="39" t="s">
        <v>107</v>
      </c>
      <c r="F258" s="28" t="s">
        <v>108</v>
      </c>
      <c r="G258" s="40"/>
    </row>
    <row r="259" spans="1:7" ht="18" customHeight="1">
      <c r="A259" s="36">
        <v>45782</v>
      </c>
      <c r="B259" s="37" t="s">
        <v>92</v>
      </c>
      <c r="C259" s="25" t="str">
        <f>IF(B259="","",IFERROR(VLOOKUP(B259,FLOTA!$A:$D,4,0)&amp;" — "&amp;VLOOKUP(B259,FLOTA!$A:$D,3,0),IFERROR(VLOOKUP(B259,'FLOTA TERCEROS'!$A:$D,4,0)&amp;" — "&amp;VLOOKUP(B259,'FLOTA TERCEROS'!$A:$D,3,0),"⚠ No encontrado")))</f>
        <v>→ completar — MERCEDES BENZ</v>
      </c>
      <c r="D259" s="38">
        <v>65</v>
      </c>
      <c r="E259" s="39" t="s">
        <v>107</v>
      </c>
      <c r="F259" s="28" t="s">
        <v>112</v>
      </c>
      <c r="G259" s="40"/>
    </row>
    <row r="260" spans="1:7" ht="18" customHeight="1">
      <c r="A260" s="36">
        <v>45782</v>
      </c>
      <c r="B260" s="37" t="s">
        <v>86</v>
      </c>
      <c r="C260" s="25" t="str">
        <f>IF(B260="","",IFERROR(VLOOKUP(B260,FLOTA!$A:$D,4,0)&amp;" — "&amp;VLOOKUP(B260,FLOTA!$A:$D,3,0),IFERROR(VLOOKUP(B260,'FLOTA TERCEROS'!$A:$D,4,0)&amp;" — "&amp;VLOOKUP(B260,'FLOTA TERCEROS'!$A:$D,3,0),"⚠ No encontrado")))</f>
        <v>RANGER — FORD</v>
      </c>
      <c r="D260" s="38">
        <v>66</v>
      </c>
      <c r="E260" s="39" t="s">
        <v>107</v>
      </c>
      <c r="F260" s="28" t="s">
        <v>116</v>
      </c>
      <c r="G260" s="40"/>
    </row>
    <row r="261" spans="1:7" ht="18" customHeight="1">
      <c r="A261" s="36">
        <v>45783</v>
      </c>
      <c r="B261" s="37" t="s">
        <v>36</v>
      </c>
      <c r="C261" s="25" t="str">
        <f>IF(B261="","",IFERROR(VLOOKUP(B261,FLOTA!$A:$D,4,0)&amp;" — "&amp;VLOOKUP(B261,FLOTA!$A:$D,3,0),IFERROR(VLOOKUP(B261,'FLOTA TERCEROS'!$A:$D,4,0)&amp;" — "&amp;VLOOKUP(B261,'FLOTA TERCEROS'!$A:$D,3,0),"⚠ No encontrado")))</f>
        <v>HILUX 4X2 CD SRV 3.0 — TOYOTA</v>
      </c>
      <c r="D261" s="38">
        <v>52</v>
      </c>
      <c r="E261" s="39" t="s">
        <v>107</v>
      </c>
      <c r="F261" s="28" t="s">
        <v>121</v>
      </c>
      <c r="G261" s="40"/>
    </row>
    <row r="262" spans="1:7" ht="18" customHeight="1">
      <c r="A262" s="36">
        <v>45783</v>
      </c>
      <c r="B262" s="37" t="s">
        <v>58</v>
      </c>
      <c r="C262" s="25" t="str">
        <f>IF(B262="","",IFERROR(VLOOKUP(B262,FLOTA!$A:$D,4,0)&amp;" — "&amp;VLOOKUP(B262,FLOTA!$A:$D,3,0),IFERROR(VLOOKUP(B262,'FLOTA TERCEROS'!$A:$D,4,0)&amp;" — "&amp;VLOOKUP(B262,'FLOTA TERCEROS'!$A:$D,3,0),"⚠ No encontrado")))</f>
        <v>SPRINTER 515 CDIC — MERCEDES BENZ</v>
      </c>
      <c r="D262" s="38">
        <v>50</v>
      </c>
      <c r="E262" s="39" t="s">
        <v>107</v>
      </c>
      <c r="F262" s="28" t="s">
        <v>119</v>
      </c>
      <c r="G262" s="40"/>
    </row>
    <row r="263" spans="1:7" ht="18" customHeight="1">
      <c r="A263" s="36">
        <v>45783</v>
      </c>
      <c r="B263" s="37" t="s">
        <v>53</v>
      </c>
      <c r="C263" s="25" t="str">
        <f>IF(B263="","",IFERROR(VLOOKUP(B263,FLOTA!$A:$D,4,0)&amp;" — "&amp;VLOOKUP(B263,FLOTA!$A:$D,3,0),IFERROR(VLOOKUP(B263,'FLOTA TERCEROS'!$A:$D,4,0)&amp;" — "&amp;VLOOKUP(B263,'FLOTA TERCEROS'!$A:$D,3,0),"⚠ No encontrado")))</f>
        <v>AMAROK DC 2.0L TDI 180CV 4X4 — VOLKSWAGEN</v>
      </c>
      <c r="D263" s="38">
        <v>40</v>
      </c>
      <c r="E263" s="39" t="s">
        <v>107</v>
      </c>
      <c r="F263" s="28" t="s">
        <v>113</v>
      </c>
      <c r="G263" s="40"/>
    </row>
    <row r="264" spans="1:7" ht="18" customHeight="1">
      <c r="A264" s="36">
        <v>45786</v>
      </c>
      <c r="B264" s="37" t="s">
        <v>58</v>
      </c>
      <c r="C264" s="25" t="str">
        <f>IF(B264="","",IFERROR(VLOOKUP(B264,FLOTA!$A:$D,4,0)&amp;" — "&amp;VLOOKUP(B264,FLOTA!$A:$D,3,0),IFERROR(VLOOKUP(B264,'FLOTA TERCEROS'!$A:$D,4,0)&amp;" — "&amp;VLOOKUP(B264,'FLOTA TERCEROS'!$A:$D,3,0),"⚠ No encontrado")))</f>
        <v>SPRINTER 515 CDIC — MERCEDES BENZ</v>
      </c>
      <c r="D264" s="38">
        <v>55</v>
      </c>
      <c r="E264" s="39">
        <v>201075</v>
      </c>
      <c r="F264" s="28" t="s">
        <v>119</v>
      </c>
      <c r="G264" s="40"/>
    </row>
    <row r="265" spans="1:7" ht="18" customHeight="1">
      <c r="A265" s="36">
        <v>45786</v>
      </c>
      <c r="B265" s="37" t="s">
        <v>53</v>
      </c>
      <c r="C265" s="25" t="str">
        <f>IF(B265="","",IFERROR(VLOOKUP(B265,FLOTA!$A:$D,4,0)&amp;" — "&amp;VLOOKUP(B265,FLOTA!$A:$D,3,0),IFERROR(VLOOKUP(B265,'FLOTA TERCEROS'!$A:$D,4,0)&amp;" — "&amp;VLOOKUP(B265,'FLOTA TERCEROS'!$A:$D,3,0),"⚠ No encontrado")))</f>
        <v>AMAROK DC 2.0L TDI 180CV 4X4 — VOLKSWAGEN</v>
      </c>
      <c r="D265" s="38">
        <v>60</v>
      </c>
      <c r="E265" s="39">
        <v>266074</v>
      </c>
      <c r="F265" s="28" t="s">
        <v>121</v>
      </c>
      <c r="G265" s="40"/>
    </row>
    <row r="266" spans="1:7" ht="18" customHeight="1">
      <c r="A266" s="36">
        <v>45786</v>
      </c>
      <c r="B266" s="37" t="s">
        <v>81</v>
      </c>
      <c r="C266" s="25" t="str">
        <f>IF(B266="","",IFERROR(VLOOKUP(B266,FLOTA!$A:$D,4,0)&amp;" — "&amp;VLOOKUP(B266,FLOTA!$A:$D,3,0),IFERROR(VLOOKUP(B266,'FLOTA TERCEROS'!$A:$D,4,0)&amp;" — "&amp;VLOOKUP(B266,'FLOTA TERCEROS'!$A:$D,3,0),"⚠ No encontrado")))</f>
        <v>RANGER — FORD</v>
      </c>
      <c r="D266" s="38">
        <v>70</v>
      </c>
      <c r="E266" s="39">
        <v>49778</v>
      </c>
      <c r="F266" s="28" t="s">
        <v>124</v>
      </c>
      <c r="G266" s="40"/>
    </row>
    <row r="267" spans="1:7" ht="18" customHeight="1">
      <c r="A267" s="36">
        <v>45786</v>
      </c>
      <c r="B267" s="37" t="s">
        <v>36</v>
      </c>
      <c r="C267" s="25" t="str">
        <f>IF(B267="","",IFERROR(VLOOKUP(B267,FLOTA!$A:$D,4,0)&amp;" — "&amp;VLOOKUP(B267,FLOTA!$A:$D,3,0),IFERROR(VLOOKUP(B267,'FLOTA TERCEROS'!$A:$D,4,0)&amp;" — "&amp;VLOOKUP(B267,'FLOTA TERCEROS'!$A:$D,3,0),"⚠ No encontrado")))</f>
        <v>HILUX 4X2 CD SRV 3.0 — TOYOTA</v>
      </c>
      <c r="D267" s="38">
        <v>80</v>
      </c>
      <c r="E267" s="39">
        <v>288645</v>
      </c>
      <c r="F267" s="28" t="s">
        <v>113</v>
      </c>
      <c r="G267" s="40"/>
    </row>
    <row r="268" spans="1:7" ht="18" customHeight="1">
      <c r="A268" s="36">
        <v>45787</v>
      </c>
      <c r="B268" s="37" t="s">
        <v>43</v>
      </c>
      <c r="C268" s="25" t="str">
        <f>IF(B268="","",IFERROR(VLOOKUP(B268,FLOTA!$A:$D,4,0)&amp;" — "&amp;VLOOKUP(B268,FLOTA!$A:$D,3,0),IFERROR(VLOOKUP(B268,'FLOTA TERCEROS'!$A:$D,4,0)&amp;" — "&amp;VLOOKUP(B268,'FLOTA TERCEROS'!$A:$D,3,0),"⚠ No encontrado")))</f>
        <v>AMAROK CS 2.0 140CV — VOLKSWAGEN</v>
      </c>
      <c r="D268" s="38">
        <v>50</v>
      </c>
      <c r="E268" s="39">
        <v>142357</v>
      </c>
      <c r="F268" s="28" t="s">
        <v>118</v>
      </c>
      <c r="G268" s="40"/>
    </row>
    <row r="269" spans="1:7" ht="18" customHeight="1">
      <c r="A269" s="36">
        <v>45787</v>
      </c>
      <c r="B269" s="37" t="s">
        <v>86</v>
      </c>
      <c r="C269" s="25" t="str">
        <f>IF(B269="","",IFERROR(VLOOKUP(B269,FLOTA!$A:$D,4,0)&amp;" — "&amp;VLOOKUP(B269,FLOTA!$A:$D,3,0),IFERROR(VLOOKUP(B269,'FLOTA TERCEROS'!$A:$D,4,0)&amp;" — "&amp;VLOOKUP(B269,'FLOTA TERCEROS'!$A:$D,3,0),"⚠ No encontrado")))</f>
        <v>RANGER — FORD</v>
      </c>
      <c r="D269" s="38">
        <v>70</v>
      </c>
      <c r="E269" s="39">
        <v>57974</v>
      </c>
      <c r="F269" s="28" t="s">
        <v>116</v>
      </c>
      <c r="G269" s="40"/>
    </row>
    <row r="270" spans="1:7" ht="18" customHeight="1">
      <c r="A270" s="36">
        <v>45789</v>
      </c>
      <c r="B270" s="37" t="s">
        <v>92</v>
      </c>
      <c r="C270" s="25" t="str">
        <f>IF(B270="","",IFERROR(VLOOKUP(B270,FLOTA!$A:$D,4,0)&amp;" — "&amp;VLOOKUP(B270,FLOTA!$A:$D,3,0),IFERROR(VLOOKUP(B270,'FLOTA TERCEROS'!$A:$D,4,0)&amp;" — "&amp;VLOOKUP(B270,'FLOTA TERCEROS'!$A:$D,3,0),"⚠ No encontrado")))</f>
        <v>→ completar — MERCEDES BENZ</v>
      </c>
      <c r="D270" s="38">
        <v>75</v>
      </c>
      <c r="E270" s="39">
        <v>210096</v>
      </c>
      <c r="F270" s="28" t="s">
        <v>111</v>
      </c>
      <c r="G270" s="40"/>
    </row>
    <row r="271" spans="1:7" ht="18" customHeight="1">
      <c r="A271" s="36">
        <v>45790</v>
      </c>
      <c r="B271" s="37" t="s">
        <v>58</v>
      </c>
      <c r="C271" s="25" t="str">
        <f>IF(B271="","",IFERROR(VLOOKUP(B271,FLOTA!$A:$D,4,0)&amp;" — "&amp;VLOOKUP(B271,FLOTA!$A:$D,3,0),IFERROR(VLOOKUP(B271,'FLOTA TERCEROS'!$A:$D,4,0)&amp;" — "&amp;VLOOKUP(B271,'FLOTA TERCEROS'!$A:$D,3,0),"⚠ No encontrado")))</f>
        <v>SPRINTER 515 CDIC — MERCEDES BENZ</v>
      </c>
      <c r="D271" s="38">
        <v>50</v>
      </c>
      <c r="E271" s="39">
        <v>201413</v>
      </c>
      <c r="F271" s="28" t="s">
        <v>119</v>
      </c>
      <c r="G271" s="40"/>
    </row>
    <row r="272" spans="1:7" ht="18" customHeight="1">
      <c r="A272" s="36">
        <v>45790</v>
      </c>
      <c r="B272" s="37" t="s">
        <v>24</v>
      </c>
      <c r="C272" s="25" t="str">
        <f>IF(B272="","",IFERROR(VLOOKUP(B272,FLOTA!$A:$D,4,0)&amp;" — "&amp;VLOOKUP(B272,FLOTA!$A:$D,3,0),IFERROR(VLOOKUP(B272,'FLOTA TERCEROS'!$A:$D,4,0)&amp;" — "&amp;VLOOKUP(B272,'FLOTA TERCEROS'!$A:$D,3,0),"⚠ No encontrado")))</f>
        <v>RANGER 2 CD 4X4 XLS 3.2L — FORD</v>
      </c>
      <c r="D272" s="38">
        <v>75</v>
      </c>
      <c r="E272" s="39">
        <v>232642</v>
      </c>
      <c r="F272" s="28" t="s">
        <v>108</v>
      </c>
      <c r="G272" s="40"/>
    </row>
    <row r="273" spans="1:7" ht="18" customHeight="1">
      <c r="A273" s="36">
        <v>45791</v>
      </c>
      <c r="B273" s="37" t="s">
        <v>53</v>
      </c>
      <c r="C273" s="25" t="str">
        <f>IF(B273="","",IFERROR(VLOOKUP(B273,FLOTA!$A:$D,4,0)&amp;" — "&amp;VLOOKUP(B273,FLOTA!$A:$D,3,0),IFERROR(VLOOKUP(B273,'FLOTA TERCEROS'!$A:$D,4,0)&amp;" — "&amp;VLOOKUP(B273,'FLOTA TERCEROS'!$A:$D,3,0),"⚠ No encontrado")))</f>
        <v>AMAROK DC 2.0L TDI 180CV 4X4 — VOLKSWAGEN</v>
      </c>
      <c r="D273" s="38">
        <v>80</v>
      </c>
      <c r="E273" s="39">
        <v>266820</v>
      </c>
      <c r="F273" s="28" t="s">
        <v>121</v>
      </c>
      <c r="G273" s="40"/>
    </row>
    <row r="274" spans="1:7" ht="18" customHeight="1">
      <c r="A274" s="36">
        <v>45792</v>
      </c>
      <c r="B274" s="37" t="s">
        <v>81</v>
      </c>
      <c r="C274" s="25" t="str">
        <f>IF(B274="","",IFERROR(VLOOKUP(B274,FLOTA!$A:$D,4,0)&amp;" — "&amp;VLOOKUP(B274,FLOTA!$A:$D,3,0),IFERROR(VLOOKUP(B274,'FLOTA TERCEROS'!$A:$D,4,0)&amp;" — "&amp;VLOOKUP(B274,'FLOTA TERCEROS'!$A:$D,3,0),"⚠ No encontrado")))</f>
        <v>RANGER — FORD</v>
      </c>
      <c r="D274" s="38">
        <v>80</v>
      </c>
      <c r="E274" s="39">
        <v>50541</v>
      </c>
      <c r="F274" s="28" t="s">
        <v>124</v>
      </c>
      <c r="G274" s="40"/>
    </row>
    <row r="275" spans="1:7" ht="18" customHeight="1">
      <c r="A275" s="36">
        <v>45793</v>
      </c>
      <c r="B275" s="37" t="s">
        <v>36</v>
      </c>
      <c r="C275" s="25" t="str">
        <f>IF(B275="","",IFERROR(VLOOKUP(B275,FLOTA!$A:$D,4,0)&amp;" — "&amp;VLOOKUP(B275,FLOTA!$A:$D,3,0),IFERROR(VLOOKUP(B275,'FLOTA TERCEROS'!$A:$D,4,0)&amp;" — "&amp;VLOOKUP(B275,'FLOTA TERCEROS'!$A:$D,3,0),"⚠ No encontrado")))</f>
        <v>HILUX 4X2 CD SRV 3.0 — TOYOTA</v>
      </c>
      <c r="D275" s="38">
        <v>80</v>
      </c>
      <c r="E275" s="39">
        <v>289552</v>
      </c>
      <c r="F275" s="28" t="s">
        <v>118</v>
      </c>
      <c r="G275" s="40"/>
    </row>
    <row r="276" spans="1:7" ht="18" customHeight="1">
      <c r="A276" s="36">
        <v>45793</v>
      </c>
      <c r="B276" s="37" t="s">
        <v>43</v>
      </c>
      <c r="C276" s="25" t="str">
        <f>IF(B276="","",IFERROR(VLOOKUP(B276,FLOTA!$A:$D,4,0)&amp;" — "&amp;VLOOKUP(B276,FLOTA!$A:$D,3,0),IFERROR(VLOOKUP(B276,'FLOTA TERCEROS'!$A:$D,4,0)&amp;" — "&amp;VLOOKUP(B276,'FLOTA TERCEROS'!$A:$D,3,0),"⚠ No encontrado")))</f>
        <v>AMAROK CS 2.0 140CV — VOLKSWAGEN</v>
      </c>
      <c r="D276" s="38">
        <v>75</v>
      </c>
      <c r="E276" s="39">
        <v>143150</v>
      </c>
      <c r="F276" s="28" t="s">
        <v>114</v>
      </c>
      <c r="G276" s="40"/>
    </row>
    <row r="277" spans="1:7" ht="18" customHeight="1">
      <c r="A277" s="36">
        <v>45794</v>
      </c>
      <c r="B277" s="37" t="s">
        <v>58</v>
      </c>
      <c r="C277" s="25" t="str">
        <f>IF(B277="","",IFERROR(VLOOKUP(B277,FLOTA!$A:$D,4,0)&amp;" — "&amp;VLOOKUP(B277,FLOTA!$A:$D,3,0),IFERROR(VLOOKUP(B277,'FLOTA TERCEROS'!$A:$D,4,0)&amp;" — "&amp;VLOOKUP(B277,'FLOTA TERCEROS'!$A:$D,3,0),"⚠ No encontrado")))</f>
        <v>SPRINTER 515 CDIC — MERCEDES BENZ</v>
      </c>
      <c r="D277" s="38">
        <v>60</v>
      </c>
      <c r="E277" s="39">
        <v>201784</v>
      </c>
      <c r="F277" s="28" t="s">
        <v>111</v>
      </c>
      <c r="G277" s="40"/>
    </row>
    <row r="278" spans="1:7" ht="18" customHeight="1">
      <c r="A278" s="36">
        <v>45795</v>
      </c>
      <c r="B278" s="37" t="s">
        <v>36</v>
      </c>
      <c r="C278" s="25" t="str">
        <f>IF(B278="","",IFERROR(VLOOKUP(B278,FLOTA!$A:$D,4,0)&amp;" — "&amp;VLOOKUP(B278,FLOTA!$A:$D,3,0),IFERROR(VLOOKUP(B278,'FLOTA TERCEROS'!$A:$D,4,0)&amp;" — "&amp;VLOOKUP(B278,'FLOTA TERCEROS'!$A:$D,3,0),"⚠ No encontrado")))</f>
        <v>HILUX 4X2 CD SRV 3.0 — TOYOTA</v>
      </c>
      <c r="D278" s="38">
        <v>50</v>
      </c>
      <c r="E278" s="39">
        <v>290044</v>
      </c>
      <c r="F278" s="28" t="s">
        <v>118</v>
      </c>
      <c r="G278" s="40"/>
    </row>
    <row r="279" spans="1:7" ht="18" customHeight="1">
      <c r="A279" s="36">
        <v>45796</v>
      </c>
      <c r="B279" s="37" t="s">
        <v>81</v>
      </c>
      <c r="C279" s="25" t="str">
        <f>IF(B279="","",IFERROR(VLOOKUP(B279,FLOTA!$A:$D,4,0)&amp;" — "&amp;VLOOKUP(B279,FLOTA!$A:$D,3,0),IFERROR(VLOOKUP(B279,'FLOTA TERCEROS'!$A:$D,4,0)&amp;" — "&amp;VLOOKUP(B279,'FLOTA TERCEROS'!$A:$D,3,0),"⚠ No encontrado")))</f>
        <v>RANGER — FORD</v>
      </c>
      <c r="D279" s="38">
        <v>75</v>
      </c>
      <c r="E279" s="39">
        <v>51261</v>
      </c>
      <c r="F279" s="28" t="s">
        <v>124</v>
      </c>
      <c r="G279" s="40"/>
    </row>
    <row r="280" spans="1:7" ht="18" customHeight="1">
      <c r="A280" s="36">
        <v>45796</v>
      </c>
      <c r="B280" s="37" t="s">
        <v>86</v>
      </c>
      <c r="C280" s="25" t="str">
        <f>IF(B280="","",IFERROR(VLOOKUP(B280,FLOTA!$A:$D,4,0)&amp;" — "&amp;VLOOKUP(B280,FLOTA!$A:$D,3,0),IFERROR(VLOOKUP(B280,'FLOTA TERCEROS'!$A:$D,4,0)&amp;" — "&amp;VLOOKUP(B280,'FLOTA TERCEROS'!$A:$D,3,0),"⚠ No encontrado")))</f>
        <v>RANGER — FORD</v>
      </c>
      <c r="D280" s="38">
        <v>75</v>
      </c>
      <c r="E280" s="39">
        <v>58679</v>
      </c>
      <c r="F280" s="28" t="s">
        <v>116</v>
      </c>
      <c r="G280" s="40"/>
    </row>
    <row r="281" spans="1:7" ht="18" customHeight="1">
      <c r="A281" s="36">
        <v>45796</v>
      </c>
      <c r="B281" s="37" t="s">
        <v>24</v>
      </c>
      <c r="C281" s="25" t="str">
        <f>IF(B281="","",IFERROR(VLOOKUP(B281,FLOTA!$A:$D,4,0)&amp;" — "&amp;VLOOKUP(B281,FLOTA!$A:$D,3,0),IFERROR(VLOOKUP(B281,'FLOTA TERCEROS'!$A:$D,4,0)&amp;" — "&amp;VLOOKUP(B281,'FLOTA TERCEROS'!$A:$D,3,0),"⚠ No encontrado")))</f>
        <v>RANGER 2 CD 4X4 XLS 3.2L — FORD</v>
      </c>
      <c r="D281" s="38">
        <v>70</v>
      </c>
      <c r="E281" s="39">
        <v>233395</v>
      </c>
      <c r="F281" s="28" t="s">
        <v>108</v>
      </c>
      <c r="G281" s="40"/>
    </row>
    <row r="282" spans="1:7" ht="18" customHeight="1">
      <c r="A282" s="36">
        <v>45796</v>
      </c>
      <c r="B282" s="37" t="s">
        <v>53</v>
      </c>
      <c r="C282" s="25" t="str">
        <f>IF(B282="","",IFERROR(VLOOKUP(B282,FLOTA!$A:$D,4,0)&amp;" — "&amp;VLOOKUP(B282,FLOTA!$A:$D,3,0),IFERROR(VLOOKUP(B282,'FLOTA TERCEROS'!$A:$D,4,0)&amp;" — "&amp;VLOOKUP(B282,'FLOTA TERCEROS'!$A:$D,3,0),"⚠ No encontrado")))</f>
        <v>AMAROK DC 2.0L TDI 180CV 4X4 — VOLKSWAGEN</v>
      </c>
      <c r="D282" s="38">
        <v>70</v>
      </c>
      <c r="E282" s="39">
        <v>267473</v>
      </c>
      <c r="F282" s="28" t="s">
        <v>121</v>
      </c>
      <c r="G282" s="40"/>
    </row>
    <row r="283" spans="1:7" ht="18" customHeight="1">
      <c r="A283" s="36">
        <v>45796</v>
      </c>
      <c r="B283" s="37" t="s">
        <v>92</v>
      </c>
      <c r="C283" s="25" t="str">
        <f>IF(B283="","",IFERROR(VLOOKUP(B283,FLOTA!$A:$D,4,0)&amp;" — "&amp;VLOOKUP(B283,FLOTA!$A:$D,3,0),IFERROR(VLOOKUP(B283,'FLOTA TERCEROS'!$A:$D,4,0)&amp;" — "&amp;VLOOKUP(B283,'FLOTA TERCEROS'!$A:$D,3,0),"⚠ No encontrado")))</f>
        <v>→ completar — MERCEDES BENZ</v>
      </c>
      <c r="D283" s="38">
        <v>70</v>
      </c>
      <c r="E283" s="39">
        <v>211117</v>
      </c>
      <c r="F283" s="28" t="s">
        <v>113</v>
      </c>
      <c r="G283" s="40"/>
    </row>
    <row r="284" spans="1:7" ht="18" customHeight="1">
      <c r="A284" s="36">
        <v>45797</v>
      </c>
      <c r="B284" s="37" t="s">
        <v>36</v>
      </c>
      <c r="C284" s="25" t="str">
        <f>IF(B284="","",IFERROR(VLOOKUP(B284,FLOTA!$A:$D,4,0)&amp;" — "&amp;VLOOKUP(B284,FLOTA!$A:$D,3,0),IFERROR(VLOOKUP(B284,'FLOTA TERCEROS'!$A:$D,4,0)&amp;" — "&amp;VLOOKUP(B284,'FLOTA TERCEROS'!$A:$D,3,0),"⚠ No encontrado")))</f>
        <v>HILUX 4X2 CD SRV 3.0 — TOYOTA</v>
      </c>
      <c r="D284" s="38">
        <v>40</v>
      </c>
      <c r="E284" s="39">
        <v>290378</v>
      </c>
      <c r="F284" s="28" t="s">
        <v>119</v>
      </c>
      <c r="G284" s="40"/>
    </row>
    <row r="285" spans="1:7" ht="18" customHeight="1">
      <c r="A285" s="36">
        <v>45799</v>
      </c>
      <c r="B285" s="37" t="s">
        <v>58</v>
      </c>
      <c r="C285" s="25" t="str">
        <f>IF(B285="","",IFERROR(VLOOKUP(B285,FLOTA!$A:$D,4,0)&amp;" — "&amp;VLOOKUP(B285,FLOTA!$A:$D,3,0),IFERROR(VLOOKUP(B285,'FLOTA TERCEROS'!$A:$D,4,0)&amp;" — "&amp;VLOOKUP(B285,'FLOTA TERCEROS'!$A:$D,3,0),"⚠ No encontrado")))</f>
        <v>SPRINTER 515 CDIC — MERCEDES BENZ</v>
      </c>
      <c r="D285" s="38">
        <v>60</v>
      </c>
      <c r="E285" s="39">
        <v>202209</v>
      </c>
      <c r="F285" s="28" t="s">
        <v>111</v>
      </c>
      <c r="G285" s="40" t="s">
        <v>133</v>
      </c>
    </row>
    <row r="286" spans="1:7" ht="18" customHeight="1">
      <c r="A286" s="36">
        <v>45800</v>
      </c>
      <c r="B286" s="37" t="s">
        <v>53</v>
      </c>
      <c r="C286" s="25" t="str">
        <f>IF(B286="","",IFERROR(VLOOKUP(B286,FLOTA!$A:$D,4,0)&amp;" — "&amp;VLOOKUP(B286,FLOTA!$A:$D,3,0),IFERROR(VLOOKUP(B286,'FLOTA TERCEROS'!$A:$D,4,0)&amp;" — "&amp;VLOOKUP(B286,'FLOTA TERCEROS'!$A:$D,3,0),"⚠ No encontrado")))</f>
        <v>AMAROK DC 2.0L TDI 180CV 4X4 — VOLKSWAGEN</v>
      </c>
      <c r="D286" s="38">
        <v>70</v>
      </c>
      <c r="E286" s="39">
        <v>268117</v>
      </c>
      <c r="F286" s="28" t="s">
        <v>121</v>
      </c>
      <c r="G286" s="40" t="s">
        <v>134</v>
      </c>
    </row>
    <row r="287" spans="1:7" ht="18" customHeight="1">
      <c r="A287" s="36">
        <v>45800</v>
      </c>
      <c r="B287" s="37" t="s">
        <v>36</v>
      </c>
      <c r="C287" s="25" t="str">
        <f>IF(B287="","",IFERROR(VLOOKUP(B287,FLOTA!$A:$D,4,0)&amp;" — "&amp;VLOOKUP(B287,FLOTA!$A:$D,3,0),IFERROR(VLOOKUP(B287,'FLOTA TERCEROS'!$A:$D,4,0)&amp;" — "&amp;VLOOKUP(B287,'FLOTA TERCEROS'!$A:$D,3,0),"⚠ No encontrado")))</f>
        <v>HILUX 4X2 CD SRV 3.0 — TOYOTA</v>
      </c>
      <c r="D287" s="38">
        <v>60</v>
      </c>
      <c r="E287" s="39">
        <v>290936</v>
      </c>
      <c r="F287" s="28" t="s">
        <v>118</v>
      </c>
      <c r="G287" s="40" t="s">
        <v>128</v>
      </c>
    </row>
    <row r="288" spans="1:7" ht="18" customHeight="1">
      <c r="A288" s="36">
        <v>45800</v>
      </c>
      <c r="B288" s="37" t="s">
        <v>92</v>
      </c>
      <c r="C288" s="25" t="str">
        <f>IF(B288="","",IFERROR(VLOOKUP(B288,FLOTA!$A:$D,4,0)&amp;" — "&amp;VLOOKUP(B288,FLOTA!$A:$D,3,0),IFERROR(VLOOKUP(B288,'FLOTA TERCEROS'!$A:$D,4,0)&amp;" — "&amp;VLOOKUP(B288,'FLOTA TERCEROS'!$A:$D,3,0),"⚠ No encontrado")))</f>
        <v>→ completar — MERCEDES BENZ</v>
      </c>
      <c r="D288" s="38">
        <v>20</v>
      </c>
      <c r="E288" s="39">
        <v>211602</v>
      </c>
      <c r="F288" s="28" t="s">
        <v>113</v>
      </c>
      <c r="G288" s="40" t="s">
        <v>133</v>
      </c>
    </row>
    <row r="289" spans="1:7" ht="18" customHeight="1">
      <c r="A289" s="36">
        <v>45800</v>
      </c>
      <c r="B289" s="37" t="s">
        <v>81</v>
      </c>
      <c r="C289" s="25" t="str">
        <f>IF(B289="","",IFERROR(VLOOKUP(B289,FLOTA!$A:$D,4,0)&amp;" — "&amp;VLOOKUP(B289,FLOTA!$A:$D,3,0),IFERROR(VLOOKUP(B289,'FLOTA TERCEROS'!$A:$D,4,0)&amp;" — "&amp;VLOOKUP(B289,'FLOTA TERCEROS'!$A:$D,3,0),"⚠ No encontrado")))</f>
        <v>RANGER — FORD</v>
      </c>
      <c r="D289" s="38">
        <v>75</v>
      </c>
      <c r="E289" s="39">
        <v>51958</v>
      </c>
      <c r="F289" s="28" t="s">
        <v>124</v>
      </c>
      <c r="G289" s="40" t="s">
        <v>132</v>
      </c>
    </row>
    <row r="290" spans="1:7" ht="18" customHeight="1">
      <c r="A290" s="36">
        <v>45801</v>
      </c>
      <c r="B290" s="37" t="s">
        <v>86</v>
      </c>
      <c r="C290" s="25" t="str">
        <f>IF(B290="","",IFERROR(VLOOKUP(B290,FLOTA!$A:$D,4,0)&amp;" — "&amp;VLOOKUP(B290,FLOTA!$A:$D,3,0),IFERROR(VLOOKUP(B290,'FLOTA TERCEROS'!$A:$D,4,0)&amp;" — "&amp;VLOOKUP(B290,'FLOTA TERCEROS'!$A:$D,3,0),"⚠ No encontrado")))</f>
        <v>RANGER — FORD</v>
      </c>
      <c r="D290" s="38">
        <v>60</v>
      </c>
      <c r="E290" s="39">
        <v>59216</v>
      </c>
      <c r="F290" s="28" t="s">
        <v>116</v>
      </c>
      <c r="G290" s="40" t="s">
        <v>135</v>
      </c>
    </row>
    <row r="291" spans="1:7" ht="18" customHeight="1">
      <c r="A291" s="36">
        <v>45803</v>
      </c>
      <c r="B291" s="37" t="s">
        <v>92</v>
      </c>
      <c r="C291" s="25" t="str">
        <f>IF(B291="","",IFERROR(VLOOKUP(B291,FLOTA!$A:$D,4,0)&amp;" — "&amp;VLOOKUP(B291,FLOTA!$A:$D,3,0),IFERROR(VLOOKUP(B291,'FLOTA TERCEROS'!$A:$D,4,0)&amp;" — "&amp;VLOOKUP(B291,'FLOTA TERCEROS'!$A:$D,3,0),"⚠ No encontrado")))</f>
        <v>→ completar — MERCEDES BENZ</v>
      </c>
      <c r="D291" s="38">
        <v>65</v>
      </c>
      <c r="E291" s="39">
        <v>211956</v>
      </c>
      <c r="F291" s="28" t="s">
        <v>111</v>
      </c>
      <c r="G291" s="40" t="s">
        <v>133</v>
      </c>
    </row>
    <row r="292" spans="1:7" ht="18" customHeight="1">
      <c r="A292" s="36">
        <v>45803</v>
      </c>
      <c r="B292" s="37" t="s">
        <v>36</v>
      </c>
      <c r="C292" s="25" t="str">
        <f>IF(B292="","",IFERROR(VLOOKUP(B292,FLOTA!$A:$D,4,0)&amp;" — "&amp;VLOOKUP(B292,FLOTA!$A:$D,3,0),IFERROR(VLOOKUP(B292,'FLOTA TERCEROS'!$A:$D,4,0)&amp;" — "&amp;VLOOKUP(B292,'FLOTA TERCEROS'!$A:$D,3,0),"⚠ No encontrado")))</f>
        <v>HILUX 4X2 CD SRV 3.0 — TOYOTA</v>
      </c>
      <c r="D292" s="38">
        <v>30</v>
      </c>
      <c r="E292" s="39">
        <v>291427</v>
      </c>
      <c r="F292" s="28" t="s">
        <v>118</v>
      </c>
      <c r="G292" s="40" t="s">
        <v>128</v>
      </c>
    </row>
    <row r="293" spans="1:7" ht="18" customHeight="1">
      <c r="A293" s="36">
        <v>45804</v>
      </c>
      <c r="B293" s="37" t="s">
        <v>36</v>
      </c>
      <c r="C293" s="25" t="str">
        <f>IF(B293="","",IFERROR(VLOOKUP(B293,FLOTA!$A:$D,4,0)&amp;" — "&amp;VLOOKUP(B293,FLOTA!$A:$D,3,0),IFERROR(VLOOKUP(B293,'FLOTA TERCEROS'!$A:$D,4,0)&amp;" — "&amp;VLOOKUP(B293,'FLOTA TERCEROS'!$A:$D,3,0),"⚠ No encontrado")))</f>
        <v>HILUX 4X2 CD SRV 3.0 — TOYOTA</v>
      </c>
      <c r="D293" s="38">
        <v>45</v>
      </c>
      <c r="E293" s="39">
        <v>291592</v>
      </c>
      <c r="F293" s="28" t="s">
        <v>112</v>
      </c>
      <c r="G293" s="40" t="s">
        <v>136</v>
      </c>
    </row>
    <row r="294" spans="1:7" ht="18" customHeight="1">
      <c r="A294" s="36">
        <v>45805</v>
      </c>
      <c r="B294" s="37" t="s">
        <v>53</v>
      </c>
      <c r="C294" s="25" t="str">
        <f>IF(B294="","",IFERROR(VLOOKUP(B294,FLOTA!$A:$D,4,0)&amp;" — "&amp;VLOOKUP(B294,FLOTA!$A:$D,3,0),IFERROR(VLOOKUP(B294,'FLOTA TERCEROS'!$A:$D,4,0)&amp;" — "&amp;VLOOKUP(B294,'FLOTA TERCEROS'!$A:$D,3,0),"⚠ No encontrado")))</f>
        <v>AMAROK DC 2.0L TDI 180CV 4X4 — VOLKSWAGEN</v>
      </c>
      <c r="D294" s="38">
        <v>70</v>
      </c>
      <c r="E294" s="39">
        <v>268748</v>
      </c>
      <c r="F294" s="28" t="s">
        <v>121</v>
      </c>
      <c r="G294" s="40" t="s">
        <v>134</v>
      </c>
    </row>
    <row r="295" spans="1:7" ht="18" customHeight="1">
      <c r="A295" s="36">
        <v>45805</v>
      </c>
      <c r="B295" s="37" t="s">
        <v>24</v>
      </c>
      <c r="C295" s="25" t="str">
        <f>IF(B295="","",IFERROR(VLOOKUP(B295,FLOTA!$A:$D,4,0)&amp;" — "&amp;VLOOKUP(B295,FLOTA!$A:$D,3,0),IFERROR(VLOOKUP(B295,'FLOTA TERCEROS'!$A:$D,4,0)&amp;" — "&amp;VLOOKUP(B295,'FLOTA TERCEROS'!$A:$D,3,0),"⚠ No encontrado")))</f>
        <v>RANGER 2 CD 4X4 XLS 3.2L — FORD</v>
      </c>
      <c r="D295" s="38">
        <v>80</v>
      </c>
      <c r="E295" s="39">
        <v>234417</v>
      </c>
      <c r="F295" s="28" t="s">
        <v>108</v>
      </c>
      <c r="G295" s="40" t="s">
        <v>137</v>
      </c>
    </row>
    <row r="296" spans="1:7" ht="18" customHeight="1">
      <c r="A296" s="36">
        <v>45805</v>
      </c>
      <c r="B296" s="37" t="s">
        <v>81</v>
      </c>
      <c r="C296" s="25" t="str">
        <f>IF(B296="","",IFERROR(VLOOKUP(B296,FLOTA!$A:$D,4,0)&amp;" — "&amp;VLOOKUP(B296,FLOTA!$A:$D,3,0),IFERROR(VLOOKUP(B296,'FLOTA TERCEROS'!$A:$D,4,0)&amp;" — "&amp;VLOOKUP(B296,'FLOTA TERCEROS'!$A:$D,3,0),"⚠ No encontrado")))</f>
        <v>RANGER — FORD</v>
      </c>
      <c r="D296" s="38">
        <v>80</v>
      </c>
      <c r="E296" s="39">
        <v>52608</v>
      </c>
      <c r="F296" s="28" t="s">
        <v>114</v>
      </c>
      <c r="G296" s="40" t="s">
        <v>129</v>
      </c>
    </row>
    <row r="297" spans="1:7" ht="18" customHeight="1">
      <c r="A297" s="36">
        <v>45806</v>
      </c>
      <c r="B297" s="37" t="s">
        <v>43</v>
      </c>
      <c r="C297" s="25" t="str">
        <f>IF(B297="","",IFERROR(VLOOKUP(B297,FLOTA!$A:$D,4,0)&amp;" — "&amp;VLOOKUP(B297,FLOTA!$A:$D,3,0),IFERROR(VLOOKUP(B297,'FLOTA TERCEROS'!$A:$D,4,0)&amp;" — "&amp;VLOOKUP(B297,'FLOTA TERCEROS'!$A:$D,3,0),"⚠ No encontrado")))</f>
        <v>AMAROK CS 2.0 140CV — VOLKSWAGEN</v>
      </c>
      <c r="D297" s="38">
        <v>70</v>
      </c>
      <c r="E297" s="39">
        <v>143913</v>
      </c>
      <c r="F297" s="28" t="s">
        <v>118</v>
      </c>
      <c r="G297" s="40" t="s">
        <v>128</v>
      </c>
    </row>
    <row r="298" spans="1:7" ht="18" customHeight="1">
      <c r="A298" s="36">
        <v>45806</v>
      </c>
      <c r="B298" s="37" t="s">
        <v>92</v>
      </c>
      <c r="C298" s="25" t="str">
        <f>IF(B298="","",IFERROR(VLOOKUP(B298,FLOTA!$A:$D,4,0)&amp;" — "&amp;VLOOKUP(B298,FLOTA!$A:$D,3,0),IFERROR(VLOOKUP(B298,'FLOTA TERCEROS'!$A:$D,4,0)&amp;" — "&amp;VLOOKUP(B298,'FLOTA TERCEROS'!$A:$D,3,0),"⚠ No encontrado")))</f>
        <v>→ completar — MERCEDES BENZ</v>
      </c>
      <c r="D298" s="38">
        <v>30</v>
      </c>
      <c r="E298" s="39">
        <v>212454</v>
      </c>
      <c r="F298" s="28" t="s">
        <v>111</v>
      </c>
      <c r="G298" s="40" t="s">
        <v>133</v>
      </c>
    </row>
    <row r="299" spans="1:7" ht="18" customHeight="1">
      <c r="A299" s="36">
        <v>45806</v>
      </c>
      <c r="B299" s="37" t="s">
        <v>58</v>
      </c>
      <c r="C299" s="25" t="str">
        <f>IF(B299="","",IFERROR(VLOOKUP(B299,FLOTA!$A:$D,4,0)&amp;" — "&amp;VLOOKUP(B299,FLOTA!$A:$D,3,0),IFERROR(VLOOKUP(B299,'FLOTA TERCEROS'!$A:$D,4,0)&amp;" — "&amp;VLOOKUP(B299,'FLOTA TERCEROS'!$A:$D,3,0),"⚠ No encontrado")))</f>
        <v>SPRINTER 515 CDIC — MERCEDES BENZ</v>
      </c>
      <c r="D299" s="38">
        <v>65</v>
      </c>
      <c r="E299" s="39">
        <v>202703</v>
      </c>
      <c r="F299" s="28" t="s">
        <v>119</v>
      </c>
      <c r="G299" s="40" t="s">
        <v>133</v>
      </c>
    </row>
    <row r="300" spans="1:7" ht="18" customHeight="1">
      <c r="A300" s="36">
        <v>45810</v>
      </c>
      <c r="B300" s="37" t="s">
        <v>43</v>
      </c>
      <c r="C300" s="25" t="str">
        <f>IF(B300="","",IFERROR(VLOOKUP(B300,FLOTA!$A:$D,4,0)&amp;" — "&amp;VLOOKUP(B300,FLOTA!$A:$D,3,0),IFERROR(VLOOKUP(B300,'FLOTA TERCEROS'!$A:$D,4,0)&amp;" — "&amp;VLOOKUP(B300,'FLOTA TERCEROS'!$A:$D,3,0),"⚠ No encontrado")))</f>
        <v>AMAROK CS 2.0 140CV — VOLKSWAGEN</v>
      </c>
      <c r="D300" s="38">
        <v>70</v>
      </c>
      <c r="E300" s="39">
        <v>144511</v>
      </c>
      <c r="F300" s="28" t="s">
        <v>118</v>
      </c>
      <c r="G300" s="40" t="s">
        <v>128</v>
      </c>
    </row>
    <row r="301" spans="1:7" ht="18" customHeight="1">
      <c r="A301" s="36">
        <v>45810</v>
      </c>
      <c r="B301" s="37" t="s">
        <v>92</v>
      </c>
      <c r="C301" s="25" t="str">
        <f>IF(B301="","",IFERROR(VLOOKUP(B301,FLOTA!$A:$D,4,0)&amp;" — "&amp;VLOOKUP(B301,FLOTA!$A:$D,3,0),IFERROR(VLOOKUP(B301,'FLOTA TERCEROS'!$A:$D,4,0)&amp;" — "&amp;VLOOKUP(B301,'FLOTA TERCEROS'!$A:$D,3,0),"⚠ No encontrado")))</f>
        <v>→ completar — MERCEDES BENZ</v>
      </c>
      <c r="D301" s="38">
        <v>70</v>
      </c>
      <c r="E301" s="39">
        <v>212841</v>
      </c>
      <c r="F301" s="28" t="s">
        <v>111</v>
      </c>
      <c r="G301" s="40" t="s">
        <v>133</v>
      </c>
    </row>
    <row r="302" spans="1:7" ht="18" customHeight="1">
      <c r="A302" s="36">
        <v>45810</v>
      </c>
      <c r="B302" s="37" t="s">
        <v>86</v>
      </c>
      <c r="C302" s="25" t="str">
        <f>IF(B302="","",IFERROR(VLOOKUP(B302,FLOTA!$A:$D,4,0)&amp;" — "&amp;VLOOKUP(B302,FLOTA!$A:$D,3,0),IFERROR(VLOOKUP(B302,'FLOTA TERCEROS'!$A:$D,4,0)&amp;" — "&amp;VLOOKUP(B302,'FLOTA TERCEROS'!$A:$D,3,0),"⚠ No encontrado")))</f>
        <v>RANGER — FORD</v>
      </c>
      <c r="D302" s="38">
        <v>70</v>
      </c>
      <c r="E302" s="39">
        <v>59865</v>
      </c>
      <c r="F302" s="28" t="s">
        <v>116</v>
      </c>
      <c r="G302" s="40" t="s">
        <v>135</v>
      </c>
    </row>
    <row r="303" spans="1:7" ht="18" customHeight="1">
      <c r="A303" s="36">
        <v>45810</v>
      </c>
      <c r="B303" s="37" t="s">
        <v>36</v>
      </c>
      <c r="C303" s="25" t="str">
        <f>IF(B303="","",IFERROR(VLOOKUP(B303,FLOTA!$A:$D,4,0)&amp;" — "&amp;VLOOKUP(B303,FLOTA!$A:$D,3,0),IFERROR(VLOOKUP(B303,'FLOTA TERCEROS'!$A:$D,4,0)&amp;" — "&amp;VLOOKUP(B303,'FLOTA TERCEROS'!$A:$D,3,0),"⚠ No encontrado")))</f>
        <v>HILUX 4X2 CD SRV 3.0 — TOYOTA</v>
      </c>
      <c r="D303" s="38">
        <v>80</v>
      </c>
      <c r="E303" s="39">
        <v>292333</v>
      </c>
      <c r="F303" s="28" t="s">
        <v>113</v>
      </c>
      <c r="G303" s="40" t="s">
        <v>133</v>
      </c>
    </row>
    <row r="304" spans="1:7" ht="18" customHeight="1">
      <c r="A304" s="36">
        <v>45810</v>
      </c>
      <c r="B304" s="37" t="s">
        <v>53</v>
      </c>
      <c r="C304" s="25" t="str">
        <f>IF(B304="","",IFERROR(VLOOKUP(B304,FLOTA!$A:$D,4,0)&amp;" — "&amp;VLOOKUP(B304,FLOTA!$A:$D,3,0),IFERROR(VLOOKUP(B304,'FLOTA TERCEROS'!$A:$D,4,0)&amp;" — "&amp;VLOOKUP(B304,'FLOTA TERCEROS'!$A:$D,3,0),"⚠ No encontrado")))</f>
        <v>AMAROK DC 2.0L TDI 180CV 4X4 — VOLKSWAGEN</v>
      </c>
      <c r="D304" s="38">
        <v>70</v>
      </c>
      <c r="E304" s="39">
        <v>269352</v>
      </c>
      <c r="F304" s="28" t="s">
        <v>121</v>
      </c>
      <c r="G304" s="40" t="s">
        <v>134</v>
      </c>
    </row>
    <row r="305" spans="1:7" ht="18" customHeight="1">
      <c r="A305" s="36">
        <v>45811</v>
      </c>
      <c r="B305" s="37" t="s">
        <v>49</v>
      </c>
      <c r="C305" s="25" t="str">
        <f>IF(B305="","",IFERROR(VLOOKUP(B305,FLOTA!$A:$D,4,0)&amp;" — "&amp;VLOOKUP(B305,FLOTA!$A:$D,3,0),IFERROR(VLOOKUP(B305,'FLOTA TERCEROS'!$A:$D,4,0)&amp;" — "&amp;VLOOKUP(B305,'FLOTA TERCEROS'!$A:$D,3,0),"⚠ No encontrado")))</f>
        <v>AMAROK CD 2.0 4X4 180CV — VOLKSWAGEN</v>
      </c>
      <c r="D305" s="38">
        <v>80</v>
      </c>
      <c r="E305" s="39">
        <v>208322</v>
      </c>
      <c r="F305" s="28" t="s">
        <v>112</v>
      </c>
      <c r="G305" s="40" t="s">
        <v>133</v>
      </c>
    </row>
    <row r="306" spans="1:7" ht="18" customHeight="1">
      <c r="A306" s="36">
        <v>45812</v>
      </c>
      <c r="B306" s="37" t="s">
        <v>58</v>
      </c>
      <c r="C306" s="25" t="str">
        <f>IF(B306="","",IFERROR(VLOOKUP(B306,FLOTA!$A:$D,4,0)&amp;" — "&amp;VLOOKUP(B306,FLOTA!$A:$D,3,0),IFERROR(VLOOKUP(B306,'FLOTA TERCEROS'!$A:$D,4,0)&amp;" — "&amp;VLOOKUP(B306,'FLOTA TERCEROS'!$A:$D,3,0),"⚠ No encontrado")))</f>
        <v>SPRINTER 515 CDIC — MERCEDES BENZ</v>
      </c>
      <c r="D306" s="38">
        <v>55</v>
      </c>
      <c r="E306" s="39">
        <v>203324</v>
      </c>
      <c r="F306" s="28" t="s">
        <v>119</v>
      </c>
      <c r="G306" s="40" t="s">
        <v>133</v>
      </c>
    </row>
    <row r="307" spans="1:7" ht="18" customHeight="1">
      <c r="A307" s="36">
        <v>45813</v>
      </c>
      <c r="B307" s="37" t="s">
        <v>24</v>
      </c>
      <c r="C307" s="25" t="str">
        <f>IF(B307="","",IFERROR(VLOOKUP(B307,FLOTA!$A:$D,4,0)&amp;" — "&amp;VLOOKUP(B307,FLOTA!$A:$D,3,0),IFERROR(VLOOKUP(B307,'FLOTA TERCEROS'!$A:$D,4,0)&amp;" — "&amp;VLOOKUP(B307,'FLOTA TERCEROS'!$A:$D,3,0),"⚠ No encontrado")))</f>
        <v>RANGER 2 CD 4X4 XLS 3.2L — FORD</v>
      </c>
      <c r="D307" s="38">
        <v>65</v>
      </c>
      <c r="E307" s="39">
        <v>235299</v>
      </c>
      <c r="F307" s="28" t="s">
        <v>108</v>
      </c>
      <c r="G307" s="40" t="s">
        <v>137</v>
      </c>
    </row>
    <row r="308" spans="1:7" ht="18" customHeight="1">
      <c r="A308" s="36">
        <v>45814</v>
      </c>
      <c r="B308" s="37" t="s">
        <v>81</v>
      </c>
      <c r="C308" s="25" t="str">
        <f>IF(B308="","",IFERROR(VLOOKUP(B308,FLOTA!$A:$D,4,0)&amp;" — "&amp;VLOOKUP(B308,FLOTA!$A:$D,3,0),IFERROR(VLOOKUP(B308,'FLOTA TERCEROS'!$A:$D,4,0)&amp;" — "&amp;VLOOKUP(B308,'FLOTA TERCEROS'!$A:$D,3,0),"⚠ No encontrado")))</f>
        <v>RANGER — FORD</v>
      </c>
      <c r="D308" s="38">
        <v>60</v>
      </c>
      <c r="E308" s="39">
        <v>53358</v>
      </c>
      <c r="F308" s="28" t="s">
        <v>114</v>
      </c>
      <c r="G308" s="40" t="s">
        <v>129</v>
      </c>
    </row>
    <row r="309" spans="1:7" ht="18" customHeight="1">
      <c r="A309" s="36">
        <v>45815</v>
      </c>
      <c r="B309" s="37" t="s">
        <v>43</v>
      </c>
      <c r="C309" s="25" t="str">
        <f>IF(B309="","",IFERROR(VLOOKUP(B309,FLOTA!$A:$D,4,0)&amp;" — "&amp;VLOOKUP(B309,FLOTA!$A:$D,3,0),IFERROR(VLOOKUP(B309,'FLOTA TERCEROS'!$A:$D,4,0)&amp;" — "&amp;VLOOKUP(B309,'FLOTA TERCEROS'!$A:$D,3,0),"⚠ No encontrado")))</f>
        <v>AMAROK CS 2.0 140CV — VOLKSWAGEN</v>
      </c>
      <c r="D309" s="38">
        <v>50</v>
      </c>
      <c r="E309" s="39">
        <v>145312</v>
      </c>
      <c r="F309" s="28" t="s">
        <v>118</v>
      </c>
      <c r="G309" s="40" t="s">
        <v>128</v>
      </c>
    </row>
    <row r="310" spans="1:7" ht="18" customHeight="1">
      <c r="A310" s="36">
        <v>45817</v>
      </c>
      <c r="B310" s="37" t="s">
        <v>58</v>
      </c>
      <c r="C310" s="25" t="str">
        <f>IF(B310="","",IFERROR(VLOOKUP(B310,FLOTA!$A:$D,4,0)&amp;" — "&amp;VLOOKUP(B310,FLOTA!$A:$D,3,0),IFERROR(VLOOKUP(B310,'FLOTA TERCEROS'!$A:$D,4,0)&amp;" — "&amp;VLOOKUP(B310,'FLOTA TERCEROS'!$A:$D,3,0),"⚠ No encontrado")))</f>
        <v>SPRINTER 515 CDIC — MERCEDES BENZ</v>
      </c>
      <c r="D310" s="38">
        <v>55</v>
      </c>
      <c r="E310" s="39">
        <v>203690</v>
      </c>
      <c r="F310" s="28" t="s">
        <v>113</v>
      </c>
      <c r="G310" s="40" t="s">
        <v>133</v>
      </c>
    </row>
    <row r="311" spans="1:7" ht="18" customHeight="1">
      <c r="A311" s="36">
        <v>45817</v>
      </c>
      <c r="B311" s="37" t="s">
        <v>36</v>
      </c>
      <c r="C311" s="25" t="str">
        <f>IF(B311="","",IFERROR(VLOOKUP(B311,FLOTA!$A:$D,4,0)&amp;" — "&amp;VLOOKUP(B311,FLOTA!$A:$D,3,0),IFERROR(VLOOKUP(B311,'FLOTA TERCEROS'!$A:$D,4,0)&amp;" — "&amp;VLOOKUP(B311,'FLOTA TERCEROS'!$A:$D,3,0),"⚠ No encontrado")))</f>
        <v>HILUX 4X2 CD SRV 3.0 — TOYOTA</v>
      </c>
      <c r="D311" s="38">
        <v>80</v>
      </c>
      <c r="E311" s="39">
        <v>293149</v>
      </c>
      <c r="F311" s="28" t="s">
        <v>119</v>
      </c>
      <c r="G311" s="40" t="s">
        <v>133</v>
      </c>
    </row>
    <row r="312" spans="1:7" ht="18" customHeight="1">
      <c r="A312" s="36">
        <v>45817</v>
      </c>
      <c r="B312" s="37" t="s">
        <v>53</v>
      </c>
      <c r="C312" s="25" t="str">
        <f>IF(B312="","",IFERROR(VLOOKUP(B312,FLOTA!$A:$D,4,0)&amp;" — "&amp;VLOOKUP(B312,FLOTA!$A:$D,3,0),IFERROR(VLOOKUP(B312,'FLOTA TERCEROS'!$A:$D,4,0)&amp;" — "&amp;VLOOKUP(B312,'FLOTA TERCEROS'!$A:$D,3,0),"⚠ No encontrado")))</f>
        <v>AMAROK DC 2.0L TDI 180CV 4X4 — VOLKSWAGEN</v>
      </c>
      <c r="D312" s="38">
        <v>80</v>
      </c>
      <c r="E312" s="39">
        <v>270078</v>
      </c>
      <c r="F312" s="28" t="s">
        <v>121</v>
      </c>
      <c r="G312" s="40" t="s">
        <v>134</v>
      </c>
    </row>
    <row r="313" spans="1:7" ht="18" customHeight="1">
      <c r="A313" s="36">
        <v>45817</v>
      </c>
      <c r="B313" s="37" t="s">
        <v>92</v>
      </c>
      <c r="C313" s="25" t="str">
        <f>IF(B313="","",IFERROR(VLOOKUP(B313,FLOTA!$A:$D,4,0)&amp;" — "&amp;VLOOKUP(B313,FLOTA!$A:$D,3,0),IFERROR(VLOOKUP(B313,'FLOTA TERCEROS'!$A:$D,4,0)&amp;" — "&amp;VLOOKUP(B313,'FLOTA TERCEROS'!$A:$D,3,0),"⚠ No encontrado")))</f>
        <v>→ completar — MERCEDES BENZ</v>
      </c>
      <c r="D313" s="38">
        <v>80</v>
      </c>
      <c r="E313" s="39">
        <v>213725</v>
      </c>
      <c r="F313" s="28" t="s">
        <v>111</v>
      </c>
      <c r="G313" s="40" t="s">
        <v>133</v>
      </c>
    </row>
    <row r="314" spans="1:7" ht="18" customHeight="1">
      <c r="A314" s="36">
        <v>45817</v>
      </c>
      <c r="B314" s="37" t="s">
        <v>86</v>
      </c>
      <c r="C314" s="25" t="str">
        <f>IF(B314="","",IFERROR(VLOOKUP(B314,FLOTA!$A:$D,4,0)&amp;" — "&amp;VLOOKUP(B314,FLOTA!$A:$D,3,0),IFERROR(VLOOKUP(B314,'FLOTA TERCEROS'!$A:$D,4,0)&amp;" — "&amp;VLOOKUP(B314,'FLOTA TERCEROS'!$A:$D,3,0),"⚠ No encontrado")))</f>
        <v>RANGER — FORD</v>
      </c>
      <c r="D314" s="38">
        <v>60</v>
      </c>
      <c r="E314" s="39">
        <v>60627</v>
      </c>
      <c r="F314" s="28" t="s">
        <v>116</v>
      </c>
      <c r="G314" s="40" t="s">
        <v>135</v>
      </c>
    </row>
    <row r="315" spans="1:7" ht="18" customHeight="1">
      <c r="A315" s="36">
        <v>45819</v>
      </c>
      <c r="B315" s="37" t="s">
        <v>43</v>
      </c>
      <c r="C315" s="25" t="str">
        <f>IF(B315="","",IFERROR(VLOOKUP(B315,FLOTA!$A:$D,4,0)&amp;" — "&amp;VLOOKUP(B315,FLOTA!$A:$D,3,0),IFERROR(VLOOKUP(B315,'FLOTA TERCEROS'!$A:$D,4,0)&amp;" — "&amp;VLOOKUP(B315,'FLOTA TERCEROS'!$A:$D,3,0),"⚠ No encontrado")))</f>
        <v>AMAROK CS 2.0 140CV — VOLKSWAGEN</v>
      </c>
      <c r="D315" s="38">
        <v>60</v>
      </c>
      <c r="E315" s="39">
        <v>145935</v>
      </c>
      <c r="F315" s="28" t="s">
        <v>118</v>
      </c>
      <c r="G315" s="40" t="s">
        <v>128</v>
      </c>
    </row>
    <row r="316" spans="1:7" ht="18" customHeight="1">
      <c r="A316" s="36">
        <v>45819</v>
      </c>
      <c r="B316" s="37" t="s">
        <v>49</v>
      </c>
      <c r="C316" s="25" t="str">
        <f>IF(B316="","",IFERROR(VLOOKUP(B316,FLOTA!$A:$D,4,0)&amp;" — "&amp;VLOOKUP(B316,FLOTA!$A:$D,3,0),IFERROR(VLOOKUP(B316,'FLOTA TERCEROS'!$A:$D,4,0)&amp;" — "&amp;VLOOKUP(B316,'FLOTA TERCEROS'!$A:$D,3,0),"⚠ No encontrado")))</f>
        <v>AMAROK CD 2.0 4X4 180CV — VOLKSWAGEN</v>
      </c>
      <c r="D316" s="38">
        <v>75</v>
      </c>
      <c r="E316" s="39">
        <v>208984</v>
      </c>
      <c r="F316" s="28" t="s">
        <v>112</v>
      </c>
      <c r="G316" s="40" t="s">
        <v>133</v>
      </c>
    </row>
    <row r="317" spans="1:7" ht="18" customHeight="1">
      <c r="A317" s="36">
        <v>45820</v>
      </c>
      <c r="B317" s="37" t="s">
        <v>58</v>
      </c>
      <c r="C317" s="25" t="str">
        <f>IF(B317="","",IFERROR(VLOOKUP(B317,FLOTA!$A:$D,4,0)&amp;" — "&amp;VLOOKUP(B317,FLOTA!$A:$D,3,0),IFERROR(VLOOKUP(B317,'FLOTA TERCEROS'!$A:$D,4,0)&amp;" — "&amp;VLOOKUP(B317,'FLOTA TERCEROS'!$A:$D,3,0),"⚠ No encontrado")))</f>
        <v>SPRINTER 515 CDIC — MERCEDES BENZ</v>
      </c>
      <c r="D317" s="38">
        <v>60</v>
      </c>
      <c r="E317" s="39">
        <v>204105</v>
      </c>
      <c r="F317" s="28" t="s">
        <v>113</v>
      </c>
      <c r="G317" s="40" t="s">
        <v>133</v>
      </c>
    </row>
    <row r="318" spans="1:7" ht="18" customHeight="1">
      <c r="A318" s="36">
        <v>45821</v>
      </c>
      <c r="B318" s="37" t="s">
        <v>92</v>
      </c>
      <c r="C318" s="25" t="str">
        <f>IF(B318="","",IFERROR(VLOOKUP(B318,FLOTA!$A:$D,4,0)&amp;" — "&amp;VLOOKUP(B318,FLOTA!$A:$D,3,0),IFERROR(VLOOKUP(B318,'FLOTA TERCEROS'!$A:$D,4,0)&amp;" — "&amp;VLOOKUP(B318,'FLOTA TERCEROS'!$A:$D,3,0),"⚠ No encontrado")))</f>
        <v>→ completar — MERCEDES BENZ</v>
      </c>
      <c r="D318" s="38">
        <v>30</v>
      </c>
      <c r="E318" s="39">
        <v>214295</v>
      </c>
      <c r="F318" s="28" t="s">
        <v>111</v>
      </c>
      <c r="G318" s="40" t="s">
        <v>133</v>
      </c>
    </row>
    <row r="319" spans="1:7" ht="18" customHeight="1">
      <c r="A319" s="36">
        <v>45821</v>
      </c>
      <c r="B319" s="37" t="s">
        <v>24</v>
      </c>
      <c r="C319" s="25" t="str">
        <f>IF(B319="","",IFERROR(VLOOKUP(B319,FLOTA!$A:$D,4,0)&amp;" — "&amp;VLOOKUP(B319,FLOTA!$A:$D,3,0),IFERROR(VLOOKUP(B319,'FLOTA TERCEROS'!$A:$D,4,0)&amp;" — "&amp;VLOOKUP(B319,'FLOTA TERCEROS'!$A:$D,3,0),"⚠ No encontrado")))</f>
        <v>RANGER 2 CD 4X4 XLS 3.2L — FORD</v>
      </c>
      <c r="D319" s="38">
        <v>75</v>
      </c>
      <c r="E319" s="39">
        <v>236287</v>
      </c>
      <c r="F319" s="28" t="s">
        <v>108</v>
      </c>
      <c r="G319" s="40" t="s">
        <v>137</v>
      </c>
    </row>
    <row r="320" spans="1:7" ht="18" customHeight="1">
      <c r="A320" s="36">
        <v>45821</v>
      </c>
      <c r="B320" s="37" t="s">
        <v>53</v>
      </c>
      <c r="C320" s="25" t="str">
        <f>IF(B320="","",IFERROR(VLOOKUP(B320,FLOTA!$A:$D,4,0)&amp;" — "&amp;VLOOKUP(B320,FLOTA!$A:$D,3,0),IFERROR(VLOOKUP(B320,'FLOTA TERCEROS'!$A:$D,4,0)&amp;" — "&amp;VLOOKUP(B320,'FLOTA TERCEROS'!$A:$D,3,0),"⚠ No encontrado")))</f>
        <v>AMAROK DC 2.0L TDI 180CV 4X4 — VOLKSWAGEN</v>
      </c>
      <c r="D320" s="38">
        <v>70</v>
      </c>
      <c r="E320" s="39">
        <v>270798</v>
      </c>
      <c r="F320" s="28" t="s">
        <v>121</v>
      </c>
      <c r="G320" s="40" t="s">
        <v>134</v>
      </c>
    </row>
    <row r="321" spans="1:7" ht="18" customHeight="1">
      <c r="A321" s="36">
        <v>45821</v>
      </c>
      <c r="B321" s="37" t="s">
        <v>81</v>
      </c>
      <c r="C321" s="25" t="str">
        <f>IF(B321="","",IFERROR(VLOOKUP(B321,FLOTA!$A:$D,4,0)&amp;" — "&amp;VLOOKUP(B321,FLOTA!$A:$D,3,0),IFERROR(VLOOKUP(B321,'FLOTA TERCEROS'!$A:$D,4,0)&amp;" — "&amp;VLOOKUP(B321,'FLOTA TERCEROS'!$A:$D,3,0),"⚠ No encontrado")))</f>
        <v>RANGER — FORD</v>
      </c>
      <c r="D321" s="38">
        <v>60</v>
      </c>
      <c r="E321" s="39">
        <v>53800</v>
      </c>
      <c r="F321" s="28" t="s">
        <v>114</v>
      </c>
      <c r="G321" s="40" t="s">
        <v>138</v>
      </c>
    </row>
    <row r="322" spans="1:7" ht="18" customHeight="1">
      <c r="A322" s="36">
        <v>45821</v>
      </c>
      <c r="B322" s="37" t="s">
        <v>36</v>
      </c>
      <c r="C322" s="25" t="str">
        <f>IF(B322="","",IFERROR(VLOOKUP(B322,FLOTA!$A:$D,4,0)&amp;" — "&amp;VLOOKUP(B322,FLOTA!$A:$D,3,0),IFERROR(VLOOKUP(B322,'FLOTA TERCEROS'!$A:$D,4,0)&amp;" — "&amp;VLOOKUP(B322,'FLOTA TERCEROS'!$A:$D,3,0),"⚠ No encontrado")))</f>
        <v>HILUX 4X2 CD SRV 3.0 — TOYOTA</v>
      </c>
      <c r="D322" s="38">
        <v>75</v>
      </c>
      <c r="E322" s="39"/>
      <c r="F322" s="28" t="s">
        <v>119</v>
      </c>
      <c r="G322" s="40" t="s">
        <v>132</v>
      </c>
    </row>
    <row r="323" spans="1:7" ht="18" customHeight="1">
      <c r="A323" s="36">
        <v>45822</v>
      </c>
      <c r="B323" s="37" t="s">
        <v>43</v>
      </c>
      <c r="C323" s="25" t="str">
        <f>IF(B323="","",IFERROR(VLOOKUP(B323,FLOTA!$A:$D,4,0)&amp;" — "&amp;VLOOKUP(B323,FLOTA!$A:$D,3,0),IFERROR(VLOOKUP(B323,'FLOTA TERCEROS'!$A:$D,4,0)&amp;" — "&amp;VLOOKUP(B323,'FLOTA TERCEROS'!$A:$D,3,0),"⚠ No encontrado")))</f>
        <v>AMAROK CS 2.0 140CV — VOLKSWAGEN</v>
      </c>
      <c r="D323" s="38">
        <v>60</v>
      </c>
      <c r="E323" s="39">
        <v>146466</v>
      </c>
      <c r="F323" s="28" t="s">
        <v>118</v>
      </c>
      <c r="G323" s="40" t="s">
        <v>128</v>
      </c>
    </row>
    <row r="324" spans="1:7" ht="18" customHeight="1">
      <c r="A324" s="36">
        <v>45825</v>
      </c>
      <c r="B324" s="37" t="s">
        <v>92</v>
      </c>
      <c r="C324" s="25" t="str">
        <f>IF(B324="","",IFERROR(VLOOKUP(B324,FLOTA!$A:$D,4,0)&amp;" — "&amp;VLOOKUP(B324,FLOTA!$A:$D,3,0),IFERROR(VLOOKUP(B324,'FLOTA TERCEROS'!$A:$D,4,0)&amp;" — "&amp;VLOOKUP(B324,'FLOTA TERCEROS'!$A:$D,3,0),"⚠ No encontrado")))</f>
        <v>→ completar — MERCEDES BENZ</v>
      </c>
      <c r="D324" s="38">
        <v>50</v>
      </c>
      <c r="E324" s="39">
        <v>214713</v>
      </c>
      <c r="F324" s="28" t="s">
        <v>111</v>
      </c>
      <c r="G324" s="40" t="s">
        <v>133</v>
      </c>
    </row>
    <row r="325" spans="1:7" ht="18" customHeight="1">
      <c r="A325" s="36">
        <v>45825</v>
      </c>
      <c r="B325" s="37" t="s">
        <v>58</v>
      </c>
      <c r="C325" s="25" t="str">
        <f>IF(B325="","",IFERROR(VLOOKUP(B325,FLOTA!$A:$D,4,0)&amp;" — "&amp;VLOOKUP(B325,FLOTA!$A:$D,3,0),IFERROR(VLOOKUP(B325,'FLOTA TERCEROS'!$A:$D,4,0)&amp;" — "&amp;VLOOKUP(B325,'FLOTA TERCEROS'!$A:$D,3,0),"⚠ No encontrado")))</f>
        <v>SPRINTER 515 CDIC — MERCEDES BENZ</v>
      </c>
      <c r="D325" s="38">
        <v>55</v>
      </c>
      <c r="E325" s="39">
        <v>204437</v>
      </c>
      <c r="F325" s="28" t="s">
        <v>119</v>
      </c>
      <c r="G325" s="40" t="s">
        <v>133</v>
      </c>
    </row>
    <row r="326" spans="1:7" ht="18" customHeight="1">
      <c r="A326" s="36">
        <v>45826</v>
      </c>
      <c r="B326" s="37" t="s">
        <v>86</v>
      </c>
      <c r="C326" s="25" t="str">
        <f>IF(B326="","",IFERROR(VLOOKUP(B326,FLOTA!$A:$D,4,0)&amp;" — "&amp;VLOOKUP(B326,FLOTA!$A:$D,3,0),IFERROR(VLOOKUP(B326,'FLOTA TERCEROS'!$A:$D,4,0)&amp;" — "&amp;VLOOKUP(B326,'FLOTA TERCEROS'!$A:$D,3,0),"⚠ No encontrado")))</f>
        <v>RANGER — FORD</v>
      </c>
      <c r="D326" s="38">
        <v>70</v>
      </c>
      <c r="E326" s="39">
        <v>61291</v>
      </c>
      <c r="F326" s="28" t="s">
        <v>116</v>
      </c>
      <c r="G326" s="40" t="s">
        <v>139</v>
      </c>
    </row>
    <row r="327" spans="1:7" ht="18" customHeight="1">
      <c r="A327" s="36">
        <v>45827</v>
      </c>
      <c r="B327" s="37" t="s">
        <v>53</v>
      </c>
      <c r="C327" s="25" t="str">
        <f>IF(B327="","",IFERROR(VLOOKUP(B327,FLOTA!$A:$D,4,0)&amp;" — "&amp;VLOOKUP(B327,FLOTA!$A:$D,3,0),IFERROR(VLOOKUP(B327,'FLOTA TERCEROS'!$A:$D,4,0)&amp;" — "&amp;VLOOKUP(B327,'FLOTA TERCEROS'!$A:$D,3,0),"⚠ No encontrado")))</f>
        <v>AMAROK DC 2.0L TDI 180CV 4X4 — VOLKSWAGEN</v>
      </c>
      <c r="D327" s="38">
        <v>70</v>
      </c>
      <c r="E327" s="39">
        <v>271411</v>
      </c>
      <c r="F327" s="28" t="s">
        <v>121</v>
      </c>
      <c r="G327" s="40" t="s">
        <v>134</v>
      </c>
    </row>
    <row r="328" spans="1:7" ht="18" customHeight="1">
      <c r="A328" s="36">
        <v>45827</v>
      </c>
      <c r="B328" s="37" t="s">
        <v>92</v>
      </c>
      <c r="C328" s="25" t="str">
        <f>IF(B328="","",IFERROR(VLOOKUP(B328,FLOTA!$A:$D,4,0)&amp;" — "&amp;VLOOKUP(B328,FLOTA!$A:$D,3,0),IFERROR(VLOOKUP(B328,'FLOTA TERCEROS'!$A:$D,4,0)&amp;" — "&amp;VLOOKUP(B328,'FLOTA TERCEROS'!$A:$D,3,0),"⚠ No encontrado")))</f>
        <v>→ completar — MERCEDES BENZ</v>
      </c>
      <c r="D328" s="38">
        <v>15</v>
      </c>
      <c r="E328" s="39">
        <v>215059</v>
      </c>
      <c r="F328" s="28" t="s">
        <v>111</v>
      </c>
      <c r="G328" s="40" t="s">
        <v>133</v>
      </c>
    </row>
    <row r="329" spans="1:7" ht="18" customHeight="1">
      <c r="A329" s="36">
        <v>45827</v>
      </c>
      <c r="B329" s="37" t="s">
        <v>49</v>
      </c>
      <c r="C329" s="25" t="str">
        <f>IF(B329="","",IFERROR(VLOOKUP(B329,FLOTA!$A:$D,4,0)&amp;" — "&amp;VLOOKUP(B329,FLOTA!$A:$D,3,0),IFERROR(VLOOKUP(B329,'FLOTA TERCEROS'!$A:$D,4,0)&amp;" — "&amp;VLOOKUP(B329,'FLOTA TERCEROS'!$A:$D,3,0),"⚠ No encontrado")))</f>
        <v>AMAROK CD 2.0 4X4 180CV — VOLKSWAGEN</v>
      </c>
      <c r="D329" s="38">
        <v>70</v>
      </c>
      <c r="E329" s="39">
        <v>209705</v>
      </c>
      <c r="F329" s="28" t="s">
        <v>113</v>
      </c>
      <c r="G329" s="40" t="s">
        <v>133</v>
      </c>
    </row>
    <row r="330" spans="1:7" ht="18" customHeight="1">
      <c r="A330" s="36">
        <v>45827</v>
      </c>
      <c r="B330" s="37" t="s">
        <v>43</v>
      </c>
      <c r="C330" s="25" t="str">
        <f>IF(B330="","",IFERROR(VLOOKUP(B330,FLOTA!$A:$D,4,0)&amp;" — "&amp;VLOOKUP(B330,FLOTA!$A:$D,3,0),IFERROR(VLOOKUP(B330,'FLOTA TERCEROS'!$A:$D,4,0)&amp;" — "&amp;VLOOKUP(B330,'FLOTA TERCEROS'!$A:$D,3,0),"⚠ No encontrado")))</f>
        <v>AMAROK CS 2.0 140CV — VOLKSWAGEN</v>
      </c>
      <c r="D330" s="38">
        <v>80</v>
      </c>
      <c r="E330" s="39">
        <v>147366</v>
      </c>
      <c r="F330" s="28" t="s">
        <v>118</v>
      </c>
      <c r="G330" s="40" t="s">
        <v>128</v>
      </c>
    </row>
    <row r="331" spans="1:7" ht="18" customHeight="1">
      <c r="A331" s="36">
        <v>45827</v>
      </c>
      <c r="B331" s="37" t="s">
        <v>36</v>
      </c>
      <c r="C331" s="25" t="str">
        <f>IF(B331="","",IFERROR(VLOOKUP(B331,FLOTA!$A:$D,4,0)&amp;" — "&amp;VLOOKUP(B331,FLOTA!$A:$D,3,0),IFERROR(VLOOKUP(B331,'FLOTA TERCEROS'!$A:$D,4,0)&amp;" — "&amp;VLOOKUP(B331,'FLOTA TERCEROS'!$A:$D,3,0),"⚠ No encontrado")))</f>
        <v>HILUX 4X2 CD SRV 3.0 — TOYOTA</v>
      </c>
      <c r="D331" s="38">
        <v>55</v>
      </c>
      <c r="E331" s="39">
        <v>294337</v>
      </c>
      <c r="F331" s="28" t="s">
        <v>124</v>
      </c>
      <c r="G331" s="40" t="s">
        <v>132</v>
      </c>
    </row>
    <row r="332" spans="1:7" ht="18" customHeight="1">
      <c r="A332" s="36">
        <v>45828</v>
      </c>
      <c r="B332" s="37" t="s">
        <v>24</v>
      </c>
      <c r="C332" s="25" t="str">
        <f>IF(B332="","",IFERROR(VLOOKUP(B332,FLOTA!$A:$D,4,0)&amp;" — "&amp;VLOOKUP(B332,FLOTA!$A:$D,3,0),IFERROR(VLOOKUP(B332,'FLOTA TERCEROS'!$A:$D,4,0)&amp;" — "&amp;VLOOKUP(B332,'FLOTA TERCEROS'!$A:$D,3,0),"⚠ No encontrado")))</f>
        <v>RANGER 2 CD 4X4 XLS 3.2L — FORD</v>
      </c>
      <c r="D332" s="38">
        <v>65</v>
      </c>
      <c r="E332" s="39">
        <v>237002</v>
      </c>
      <c r="F332" s="28" t="s">
        <v>108</v>
      </c>
      <c r="G332" s="40" t="s">
        <v>137</v>
      </c>
    </row>
    <row r="333" spans="1:7" ht="18" customHeight="1">
      <c r="A333" s="36">
        <v>45831</v>
      </c>
      <c r="B333" s="37" t="s">
        <v>92</v>
      </c>
      <c r="C333" s="25" t="str">
        <f>IF(B333="","",IFERROR(VLOOKUP(B333,FLOTA!$A:$D,4,0)&amp;" — "&amp;VLOOKUP(B333,FLOTA!$A:$D,3,0),IFERROR(VLOOKUP(B333,'FLOTA TERCEROS'!$A:$D,4,0)&amp;" — "&amp;VLOOKUP(B333,'FLOTA TERCEROS'!$A:$D,3,0),"⚠ No encontrado")))</f>
        <v>→ completar — MERCEDES BENZ</v>
      </c>
      <c r="D333" s="38">
        <v>80</v>
      </c>
      <c r="E333" s="39">
        <v>215312</v>
      </c>
      <c r="F333" s="28" t="s">
        <v>111</v>
      </c>
      <c r="G333" s="40" t="s">
        <v>133</v>
      </c>
    </row>
    <row r="334" spans="1:7" ht="18" customHeight="1">
      <c r="A334" s="36">
        <v>45831</v>
      </c>
      <c r="B334" s="37" t="s">
        <v>58</v>
      </c>
      <c r="C334" s="25" t="str">
        <f>IF(B334="","",IFERROR(VLOOKUP(B334,FLOTA!$A:$D,4,0)&amp;" — "&amp;VLOOKUP(B334,FLOTA!$A:$D,3,0),IFERROR(VLOOKUP(B334,'FLOTA TERCEROS'!$A:$D,4,0)&amp;" — "&amp;VLOOKUP(B334,'FLOTA TERCEROS'!$A:$D,3,0),"⚠ No encontrado")))</f>
        <v>SPRINTER 515 CDIC — MERCEDES BENZ</v>
      </c>
      <c r="D334" s="38">
        <v>55</v>
      </c>
      <c r="E334" s="39">
        <v>204790</v>
      </c>
      <c r="F334" s="28" t="s">
        <v>119</v>
      </c>
      <c r="G334" s="40" t="s">
        <v>133</v>
      </c>
    </row>
    <row r="335" spans="1:7" ht="18" customHeight="1">
      <c r="A335" s="36">
        <v>45831</v>
      </c>
      <c r="B335" s="37" t="s">
        <v>43</v>
      </c>
      <c r="C335" s="25" t="str">
        <f>IF(B335="","",IFERROR(VLOOKUP(B335,FLOTA!$A:$D,4,0)&amp;" — "&amp;VLOOKUP(B335,FLOTA!$A:$D,3,0),IFERROR(VLOOKUP(B335,'FLOTA TERCEROS'!$A:$D,4,0)&amp;" — "&amp;VLOOKUP(B335,'FLOTA TERCEROS'!$A:$D,3,0),"⚠ No encontrado")))</f>
        <v>AMAROK CS 2.0 140CV — VOLKSWAGEN</v>
      </c>
      <c r="D335" s="38">
        <v>40</v>
      </c>
      <c r="E335" s="39">
        <v>148100</v>
      </c>
      <c r="F335" s="28" t="s">
        <v>118</v>
      </c>
      <c r="G335" s="40" t="s">
        <v>128</v>
      </c>
    </row>
    <row r="336" spans="1:7" ht="18" customHeight="1">
      <c r="A336" s="36">
        <v>45833</v>
      </c>
      <c r="B336" s="37" t="s">
        <v>81</v>
      </c>
      <c r="C336" s="25" t="str">
        <f>IF(B336="","",IFERROR(VLOOKUP(B336,FLOTA!$A:$D,4,0)&amp;" — "&amp;VLOOKUP(B336,FLOTA!$A:$D,3,0),IFERROR(VLOOKUP(B336,'FLOTA TERCEROS'!$A:$D,4,0)&amp;" — "&amp;VLOOKUP(B336,'FLOTA TERCEROS'!$A:$D,3,0),"⚠ No encontrado")))</f>
        <v>RANGER — FORD</v>
      </c>
      <c r="D336" s="38">
        <v>80</v>
      </c>
      <c r="E336" s="39">
        <v>54492</v>
      </c>
      <c r="F336" s="28" t="s">
        <v>113</v>
      </c>
      <c r="G336" s="40" t="s">
        <v>133</v>
      </c>
    </row>
    <row r="337" spans="1:7" ht="18" customHeight="1">
      <c r="A337" s="36">
        <v>45834</v>
      </c>
      <c r="B337" s="37" t="s">
        <v>53</v>
      </c>
      <c r="C337" s="25" t="str">
        <f>IF(B337="","",IFERROR(VLOOKUP(B337,FLOTA!$A:$D,4,0)&amp;" — "&amp;VLOOKUP(B337,FLOTA!$A:$D,3,0),IFERROR(VLOOKUP(B337,'FLOTA TERCEROS'!$A:$D,4,0)&amp;" — "&amp;VLOOKUP(B337,'FLOTA TERCEROS'!$A:$D,3,0),"⚠ No encontrado")))</f>
        <v>AMAROK DC 2.0L TDI 180CV 4X4 — VOLKSWAGEN</v>
      </c>
      <c r="D337" s="38">
        <v>80</v>
      </c>
      <c r="E337" s="39">
        <v>272121</v>
      </c>
      <c r="F337" s="28" t="s">
        <v>121</v>
      </c>
      <c r="G337" s="40" t="s">
        <v>134</v>
      </c>
    </row>
    <row r="338" spans="1:7" ht="18" customHeight="1">
      <c r="A338" s="36">
        <v>45834</v>
      </c>
      <c r="B338" s="37" t="s">
        <v>36</v>
      </c>
      <c r="C338" s="25" t="str">
        <f>IF(B338="","",IFERROR(VLOOKUP(B338,FLOTA!$A:$D,4,0)&amp;" — "&amp;VLOOKUP(B338,FLOTA!$A:$D,3,0),IFERROR(VLOOKUP(B338,'FLOTA TERCEROS'!$A:$D,4,0)&amp;" — "&amp;VLOOKUP(B338,'FLOTA TERCEROS'!$A:$D,3,0),"⚠ No encontrado")))</f>
        <v>HILUX 4X2 CD SRV 3.0 — TOYOTA</v>
      </c>
      <c r="D338" s="38">
        <v>75</v>
      </c>
      <c r="E338" s="39">
        <v>295034</v>
      </c>
      <c r="F338" s="28" t="s">
        <v>124</v>
      </c>
      <c r="G338" s="40" t="s">
        <v>132</v>
      </c>
    </row>
    <row r="339" spans="1:7" ht="18" customHeight="1">
      <c r="A339" s="36">
        <v>45834</v>
      </c>
      <c r="B339" s="37" t="s">
        <v>86</v>
      </c>
      <c r="C339" s="25" t="str">
        <f>IF(B339="","",IFERROR(VLOOKUP(B339,FLOTA!$A:$D,4,0)&amp;" — "&amp;VLOOKUP(B339,FLOTA!$A:$D,3,0),IFERROR(VLOOKUP(B339,'FLOTA TERCEROS'!$A:$D,4,0)&amp;" — "&amp;VLOOKUP(B339,'FLOTA TERCEROS'!$A:$D,3,0),"⚠ No encontrado")))</f>
        <v>RANGER — FORD</v>
      </c>
      <c r="D339" s="38">
        <v>65</v>
      </c>
      <c r="E339" s="39">
        <v>61898</v>
      </c>
      <c r="F339" s="28" t="s">
        <v>116</v>
      </c>
      <c r="G339" s="40" t="s">
        <v>139</v>
      </c>
    </row>
    <row r="340" spans="1:7" ht="18" customHeight="1">
      <c r="A340" s="36">
        <v>45835</v>
      </c>
      <c r="B340" s="37" t="s">
        <v>92</v>
      </c>
      <c r="C340" s="25" t="str">
        <f>IF(B340="","",IFERROR(VLOOKUP(B340,FLOTA!$A:$D,4,0)&amp;" — "&amp;VLOOKUP(B340,FLOTA!$A:$D,3,0),IFERROR(VLOOKUP(B340,'FLOTA TERCEROS'!$A:$D,4,0)&amp;" — "&amp;VLOOKUP(B340,'FLOTA TERCEROS'!$A:$D,3,0),"⚠ No encontrado")))</f>
        <v>→ completar — MERCEDES BENZ</v>
      </c>
      <c r="D340" s="38">
        <v>15</v>
      </c>
      <c r="E340" s="39">
        <v>215844</v>
      </c>
      <c r="F340" s="28" t="s">
        <v>111</v>
      </c>
      <c r="G340" s="40" t="s">
        <v>133</v>
      </c>
    </row>
    <row r="341" spans="1:7" ht="18" customHeight="1">
      <c r="A341" s="36">
        <v>45835</v>
      </c>
      <c r="B341" s="37" t="s">
        <v>58</v>
      </c>
      <c r="C341" s="25" t="str">
        <f>IF(B341="","",IFERROR(VLOOKUP(B341,FLOTA!$A:$D,4,0)&amp;" — "&amp;VLOOKUP(B341,FLOTA!$A:$D,3,0),IFERROR(VLOOKUP(B341,'FLOTA TERCEROS'!$A:$D,4,0)&amp;" — "&amp;VLOOKUP(B341,'FLOTA TERCEROS'!$A:$D,3,0),"⚠ No encontrado")))</f>
        <v>SPRINTER 515 CDIC — MERCEDES BENZ</v>
      </c>
      <c r="D341" s="38">
        <v>55</v>
      </c>
      <c r="E341" s="39">
        <v>205113</v>
      </c>
      <c r="F341" s="28" t="s">
        <v>119</v>
      </c>
      <c r="G341" s="40" t="s">
        <v>133</v>
      </c>
    </row>
    <row r="342" spans="1:7" ht="18" customHeight="1">
      <c r="A342" s="36">
        <v>45835</v>
      </c>
      <c r="B342" s="37" t="s">
        <v>49</v>
      </c>
      <c r="C342" s="25" t="str">
        <f>IF(B342="","",IFERROR(VLOOKUP(B342,FLOTA!$A:$D,4,0)&amp;" — "&amp;VLOOKUP(B342,FLOTA!$A:$D,3,0),IFERROR(VLOOKUP(B342,'FLOTA TERCEROS'!$A:$D,4,0)&amp;" — "&amp;VLOOKUP(B342,'FLOTA TERCEROS'!$A:$D,3,0),"⚠ No encontrado")))</f>
        <v>AMAROK CD 2.0 4X4 180CV — VOLKSWAGEN</v>
      </c>
      <c r="D342" s="38">
        <v>80</v>
      </c>
      <c r="E342" s="39">
        <v>210411</v>
      </c>
      <c r="F342" s="28" t="s">
        <v>113</v>
      </c>
      <c r="G342" s="40" t="s">
        <v>133</v>
      </c>
    </row>
    <row r="343" spans="1:7" ht="18" customHeight="1">
      <c r="A343" s="36">
        <v>45835</v>
      </c>
      <c r="B343" s="37" t="s">
        <v>24</v>
      </c>
      <c r="C343" s="25" t="str">
        <f>IF(B343="","",IFERROR(VLOOKUP(B343,FLOTA!$A:$D,4,0)&amp;" — "&amp;VLOOKUP(B343,FLOTA!$A:$D,3,0),IFERROR(VLOOKUP(B343,'FLOTA TERCEROS'!$A:$D,4,0)&amp;" — "&amp;VLOOKUP(B343,'FLOTA TERCEROS'!$A:$D,3,0),"⚠ No encontrado")))</f>
        <v>RANGER 2 CD 4X4 XLS 3.2L — FORD</v>
      </c>
      <c r="D343" s="38">
        <v>70</v>
      </c>
      <c r="E343" s="39">
        <v>238001</v>
      </c>
      <c r="F343" s="28" t="s">
        <v>108</v>
      </c>
      <c r="G343" s="40" t="s">
        <v>140</v>
      </c>
    </row>
    <row r="344" spans="1:7" ht="18" customHeight="1">
      <c r="A344" s="36">
        <v>45836</v>
      </c>
      <c r="B344" s="37" t="s">
        <v>43</v>
      </c>
      <c r="C344" s="25" t="str">
        <f>IF(B344="","",IFERROR(VLOOKUP(B344,FLOTA!$A:$D,4,0)&amp;" — "&amp;VLOOKUP(B344,FLOTA!$A:$D,3,0),IFERROR(VLOOKUP(B344,'FLOTA TERCEROS'!$A:$D,4,0)&amp;" — "&amp;VLOOKUP(B344,'FLOTA TERCEROS'!$A:$D,3,0),"⚠ No encontrado")))</f>
        <v>AMAROK CS 2.0 140CV — VOLKSWAGEN</v>
      </c>
      <c r="D344" s="38">
        <v>70</v>
      </c>
      <c r="E344" s="39">
        <v>148800</v>
      </c>
      <c r="F344" s="28" t="s">
        <v>118</v>
      </c>
      <c r="G344" s="40" t="s">
        <v>128</v>
      </c>
    </row>
    <row r="345" spans="1:7" ht="18" customHeight="1">
      <c r="A345" s="36">
        <v>45838</v>
      </c>
      <c r="B345" s="37" t="s">
        <v>92</v>
      </c>
      <c r="C345" s="25" t="str">
        <f>IF(B345="","",IFERROR(VLOOKUP(B345,FLOTA!$A:$D,4,0)&amp;" — "&amp;VLOOKUP(B345,FLOTA!$A:$D,3,0),IFERROR(VLOOKUP(B345,'FLOTA TERCEROS'!$A:$D,4,0)&amp;" — "&amp;VLOOKUP(B345,'FLOTA TERCEROS'!$A:$D,3,0),"⚠ No encontrado")))</f>
        <v>→ completar — MERCEDES BENZ</v>
      </c>
      <c r="D345" s="38">
        <v>75</v>
      </c>
      <c r="E345" s="39">
        <v>216082</v>
      </c>
      <c r="F345" s="28" t="s">
        <v>111</v>
      </c>
      <c r="G345" s="40" t="s">
        <v>133</v>
      </c>
    </row>
    <row r="346" spans="1:7" ht="18" customHeight="1">
      <c r="A346" s="36">
        <v>45839</v>
      </c>
      <c r="B346" s="37" t="s">
        <v>81</v>
      </c>
      <c r="C346" s="25" t="str">
        <f>IF(B346="","",IFERROR(VLOOKUP(B346,FLOTA!$A:$D,4,0)&amp;" — "&amp;VLOOKUP(B346,FLOTA!$A:$D,3,0),IFERROR(VLOOKUP(B346,'FLOTA TERCEROS'!$A:$D,4,0)&amp;" — "&amp;VLOOKUP(B346,'FLOTA TERCEROS'!$A:$D,3,0),"⚠ No encontrado")))</f>
        <v>RANGER — FORD</v>
      </c>
      <c r="D346" s="38">
        <v>70</v>
      </c>
      <c r="E346" s="39">
        <v>55160</v>
      </c>
      <c r="F346" s="28" t="s">
        <v>114</v>
      </c>
      <c r="G346" s="40" t="s">
        <v>138</v>
      </c>
    </row>
    <row r="347" spans="1:7" ht="18" customHeight="1">
      <c r="A347" s="36">
        <v>45839</v>
      </c>
      <c r="B347" s="37" t="s">
        <v>58</v>
      </c>
      <c r="C347" s="25" t="str">
        <f>IF(B347="","",IFERROR(VLOOKUP(B347,FLOTA!$A:$D,4,0)&amp;" — "&amp;VLOOKUP(B347,FLOTA!$A:$D,3,0),IFERROR(VLOOKUP(B347,'FLOTA TERCEROS'!$A:$D,4,0)&amp;" — "&amp;VLOOKUP(B347,'FLOTA TERCEROS'!$A:$D,3,0),"⚠ No encontrado")))</f>
        <v>SPRINTER 515 CDIC — MERCEDES BENZ</v>
      </c>
      <c r="D347" s="38">
        <v>55</v>
      </c>
      <c r="E347" s="39"/>
      <c r="F347" s="28" t="s">
        <v>113</v>
      </c>
      <c r="G347" s="40" t="s">
        <v>133</v>
      </c>
    </row>
    <row r="348" spans="1:7" ht="18" customHeight="1">
      <c r="A348" s="36">
        <v>45840</v>
      </c>
      <c r="B348" s="37" t="s">
        <v>53</v>
      </c>
      <c r="C348" s="25" t="str">
        <f>IF(B348="","",IFERROR(VLOOKUP(B348,FLOTA!$A:$D,4,0)&amp;" — "&amp;VLOOKUP(B348,FLOTA!$A:$D,3,0),IFERROR(VLOOKUP(B348,'FLOTA TERCEROS'!$A:$D,4,0)&amp;" — "&amp;VLOOKUP(B348,'FLOTA TERCEROS'!$A:$D,3,0),"⚠ No encontrado")))</f>
        <v>AMAROK DC 2.0L TDI 180CV 4X4 — VOLKSWAGEN</v>
      </c>
      <c r="D348" s="38">
        <v>70</v>
      </c>
      <c r="E348" s="39">
        <v>272754</v>
      </c>
      <c r="F348" s="28" t="s">
        <v>121</v>
      </c>
      <c r="G348" s="40" t="s">
        <v>134</v>
      </c>
    </row>
    <row r="349" spans="1:7" ht="18" customHeight="1">
      <c r="A349" s="36">
        <v>45840</v>
      </c>
      <c r="B349" s="37" t="s">
        <v>36</v>
      </c>
      <c r="C349" s="25" t="str">
        <f>IF(B349="","",IFERROR(VLOOKUP(B349,FLOTA!$A:$D,4,0)&amp;" — "&amp;VLOOKUP(B349,FLOTA!$A:$D,3,0),IFERROR(VLOOKUP(B349,'FLOTA TERCEROS'!$A:$D,4,0)&amp;" — "&amp;VLOOKUP(B349,'FLOTA TERCEROS'!$A:$D,3,0),"⚠ No encontrado")))</f>
        <v>HILUX 4X2 CD SRV 3.0 — TOYOTA</v>
      </c>
      <c r="D349" s="38">
        <v>75</v>
      </c>
      <c r="E349" s="39">
        <v>295658</v>
      </c>
      <c r="F349" s="28" t="s">
        <v>124</v>
      </c>
      <c r="G349" s="40" t="s">
        <v>132</v>
      </c>
    </row>
    <row r="350" spans="1:7" ht="18" customHeight="1">
      <c r="A350" s="36">
        <v>45840</v>
      </c>
      <c r="B350" s="37" t="s">
        <v>43</v>
      </c>
      <c r="C350" s="25" t="str">
        <f>IF(B350="","",IFERROR(VLOOKUP(B350,FLOTA!$A:$D,4,0)&amp;" — "&amp;VLOOKUP(B350,FLOTA!$A:$D,3,0),IFERROR(VLOOKUP(B350,'FLOTA TERCEROS'!$A:$D,4,0)&amp;" — "&amp;VLOOKUP(B350,'FLOTA TERCEROS'!$A:$D,3,0),"⚠ No encontrado")))</f>
        <v>AMAROK CS 2.0 140CV — VOLKSWAGEN</v>
      </c>
      <c r="D350" s="38">
        <v>80</v>
      </c>
      <c r="E350" s="39">
        <v>149598</v>
      </c>
      <c r="F350" s="28" t="s">
        <v>118</v>
      </c>
      <c r="G350" s="40" t="s">
        <v>128</v>
      </c>
    </row>
    <row r="351" spans="1:7" ht="18" customHeight="1">
      <c r="A351" s="36">
        <v>45840</v>
      </c>
      <c r="B351" s="37" t="s">
        <v>49</v>
      </c>
      <c r="C351" s="25" t="str">
        <f>IF(B351="","",IFERROR(VLOOKUP(B351,FLOTA!$A:$D,4,0)&amp;" — "&amp;VLOOKUP(B351,FLOTA!$A:$D,3,0),IFERROR(VLOOKUP(B351,'FLOTA TERCEROS'!$A:$D,4,0)&amp;" — "&amp;VLOOKUP(B351,'FLOTA TERCEROS'!$A:$D,3,0),"⚠ No encontrado")))</f>
        <v>AMAROK CD 2.0 4X4 180CV — VOLKSWAGEN</v>
      </c>
      <c r="D351" s="38">
        <v>55</v>
      </c>
      <c r="E351" s="39"/>
      <c r="F351" s="28" t="s">
        <v>119</v>
      </c>
      <c r="G351" s="40" t="s">
        <v>133</v>
      </c>
    </row>
    <row r="352" spans="1:7" ht="18" customHeight="1">
      <c r="A352" s="36">
        <v>45841</v>
      </c>
      <c r="B352" s="37" t="s">
        <v>86</v>
      </c>
      <c r="C352" s="25" t="str">
        <f>IF(B352="","",IFERROR(VLOOKUP(B352,FLOTA!$A:$D,4,0)&amp;" — "&amp;VLOOKUP(B352,FLOTA!$A:$D,3,0),IFERROR(VLOOKUP(B352,'FLOTA TERCEROS'!$A:$D,4,0)&amp;" — "&amp;VLOOKUP(B352,'FLOTA TERCEROS'!$A:$D,3,0),"⚠ No encontrado")))</f>
        <v>RANGER — FORD</v>
      </c>
      <c r="D352" s="38">
        <v>60</v>
      </c>
      <c r="E352" s="39">
        <v>62427</v>
      </c>
      <c r="F352" s="28" t="s">
        <v>116</v>
      </c>
      <c r="G352" s="40" t="s">
        <v>139</v>
      </c>
    </row>
    <row r="353" spans="1:7" ht="18" customHeight="1">
      <c r="A353" s="36">
        <v>45841</v>
      </c>
      <c r="B353" s="37" t="s">
        <v>92</v>
      </c>
      <c r="C353" s="25" t="str">
        <f>IF(B353="","",IFERROR(VLOOKUP(B353,FLOTA!$A:$D,4,0)&amp;" — "&amp;VLOOKUP(B353,FLOTA!$A:$D,3,0),IFERROR(VLOOKUP(B353,'FLOTA TERCEROS'!$A:$D,4,0)&amp;" — "&amp;VLOOKUP(B353,'FLOTA TERCEROS'!$A:$D,3,0),"⚠ No encontrado")))</f>
        <v>→ completar — MERCEDES BENZ</v>
      </c>
      <c r="D353" s="38">
        <v>30</v>
      </c>
      <c r="E353" s="39">
        <v>216541</v>
      </c>
      <c r="F353" s="28" t="s">
        <v>111</v>
      </c>
      <c r="G353" s="40" t="s">
        <v>133</v>
      </c>
    </row>
    <row r="354" spans="1:7" ht="18" customHeight="1">
      <c r="A354" s="36">
        <v>45842</v>
      </c>
      <c r="B354" s="37" t="s">
        <v>58</v>
      </c>
      <c r="C354" s="25" t="str">
        <f>IF(B354="","",IFERROR(VLOOKUP(B354,FLOTA!$A:$D,4,0)&amp;" — "&amp;VLOOKUP(B354,FLOTA!$A:$D,3,0),IFERROR(VLOOKUP(B354,'FLOTA TERCEROS'!$A:$D,4,0)&amp;" — "&amp;VLOOKUP(B354,'FLOTA TERCEROS'!$A:$D,3,0),"⚠ No encontrado")))</f>
        <v>SPRINTER 515 CDIC — MERCEDES BENZ</v>
      </c>
      <c r="D354" s="38">
        <v>55</v>
      </c>
      <c r="E354" s="39">
        <v>205756</v>
      </c>
      <c r="F354" s="28" t="s">
        <v>113</v>
      </c>
      <c r="G354" s="40" t="s">
        <v>133</v>
      </c>
    </row>
    <row r="355" spans="1:7" ht="18" customHeight="1">
      <c r="A355" s="36">
        <v>45843</v>
      </c>
      <c r="B355" s="37" t="s">
        <v>24</v>
      </c>
      <c r="C355" s="25" t="str">
        <f>IF(B355="","",IFERROR(VLOOKUP(B355,FLOTA!$A:$D,4,0)&amp;" — "&amp;VLOOKUP(B355,FLOTA!$A:$D,3,0),IFERROR(VLOOKUP(B355,'FLOTA TERCEROS'!$A:$D,4,0)&amp;" — "&amp;VLOOKUP(B355,'FLOTA TERCEROS'!$A:$D,3,0),"⚠ No encontrado")))</f>
        <v>RANGER 2 CD 4X4 XLS 3.2L — FORD</v>
      </c>
      <c r="D355" s="38">
        <v>60</v>
      </c>
      <c r="E355" s="39">
        <v>238821</v>
      </c>
      <c r="F355" s="28" t="s">
        <v>108</v>
      </c>
      <c r="G355" s="40" t="s">
        <v>140</v>
      </c>
    </row>
    <row r="356" spans="1:7" ht="18" customHeight="1">
      <c r="A356" s="36">
        <v>45845</v>
      </c>
      <c r="B356" s="37" t="s">
        <v>92</v>
      </c>
      <c r="C356" s="25" t="str">
        <f>IF(B356="","",IFERROR(VLOOKUP(B356,FLOTA!$A:$D,4,0)&amp;" — "&amp;VLOOKUP(B356,FLOTA!$A:$D,3,0),IFERROR(VLOOKUP(B356,'FLOTA TERCEROS'!$A:$D,4,0)&amp;" — "&amp;VLOOKUP(B356,'FLOTA TERCEROS'!$A:$D,3,0),"⚠ No encontrado")))</f>
        <v>→ completar — MERCEDES BENZ</v>
      </c>
      <c r="D356" s="38">
        <v>50</v>
      </c>
      <c r="E356" s="39">
        <v>216879</v>
      </c>
      <c r="F356" s="28" t="s">
        <v>111</v>
      </c>
      <c r="G356" s="40" t="s">
        <v>133</v>
      </c>
    </row>
    <row r="357" spans="1:7" ht="18" customHeight="1">
      <c r="A357" s="36">
        <v>45845</v>
      </c>
      <c r="B357" s="37" t="s">
        <v>58</v>
      </c>
      <c r="C357" s="25" t="str">
        <f>IF(B357="","",IFERROR(VLOOKUP(B357,FLOTA!$A:$D,4,0)&amp;" — "&amp;VLOOKUP(B357,FLOTA!$A:$D,3,0),IFERROR(VLOOKUP(B357,'FLOTA TERCEROS'!$A:$D,4,0)&amp;" — "&amp;VLOOKUP(B357,'FLOTA TERCEROS'!$A:$D,3,0),"⚠ No encontrado")))</f>
        <v>SPRINTER 515 CDIC — MERCEDES BENZ</v>
      </c>
      <c r="D357" s="38">
        <v>45</v>
      </c>
      <c r="E357" s="39">
        <v>206058</v>
      </c>
      <c r="F357" s="28" t="s">
        <v>119</v>
      </c>
      <c r="G357" s="40" t="s">
        <v>133</v>
      </c>
    </row>
    <row r="358" spans="1:7" ht="18" customHeight="1">
      <c r="A358" s="36">
        <v>45845</v>
      </c>
      <c r="B358" s="37" t="s">
        <v>36</v>
      </c>
      <c r="C358" s="25" t="str">
        <f>IF(B358="","",IFERROR(VLOOKUP(B358,FLOTA!$A:$D,4,0)&amp;" — "&amp;VLOOKUP(B358,FLOTA!$A:$D,3,0),IFERROR(VLOOKUP(B358,'FLOTA TERCEROS'!$A:$D,4,0)&amp;" — "&amp;VLOOKUP(B358,'FLOTA TERCEROS'!$A:$D,3,0),"⚠ No encontrado")))</f>
        <v>HILUX 4X2 CD SRV 3.0 — TOYOTA</v>
      </c>
      <c r="D358" s="38">
        <v>55</v>
      </c>
      <c r="E358" s="39">
        <v>296171</v>
      </c>
      <c r="F358" s="28" t="s">
        <v>113</v>
      </c>
      <c r="G358" s="40" t="s">
        <v>133</v>
      </c>
    </row>
    <row r="359" spans="1:7" ht="18" customHeight="1">
      <c r="A359" s="36">
        <v>45845</v>
      </c>
      <c r="B359" s="37" t="s">
        <v>43</v>
      </c>
      <c r="C359" s="25" t="str">
        <f>IF(B359="","",IFERROR(VLOOKUP(B359,FLOTA!$A:$D,4,0)&amp;" — "&amp;VLOOKUP(B359,FLOTA!$A:$D,3,0),IFERROR(VLOOKUP(B359,'FLOTA TERCEROS'!$A:$D,4,0)&amp;" — "&amp;VLOOKUP(B359,'FLOTA TERCEROS'!$A:$D,3,0),"⚠ No encontrado")))</f>
        <v>AMAROK CS 2.0 140CV — VOLKSWAGEN</v>
      </c>
      <c r="D359" s="38">
        <v>70</v>
      </c>
      <c r="E359" s="39">
        <v>150403</v>
      </c>
      <c r="F359" s="28" t="s">
        <v>118</v>
      </c>
      <c r="G359" s="40" t="s">
        <v>128</v>
      </c>
    </row>
    <row r="360" spans="1:7" ht="18" customHeight="1">
      <c r="A360" s="36">
        <v>45845</v>
      </c>
      <c r="B360" s="37" t="s">
        <v>53</v>
      </c>
      <c r="C360" s="25" t="str">
        <f>IF(B360="","",IFERROR(VLOOKUP(B360,FLOTA!$A:$D,4,0)&amp;" — "&amp;VLOOKUP(B360,FLOTA!$A:$D,3,0),IFERROR(VLOOKUP(B360,'FLOTA TERCEROS'!$A:$D,4,0)&amp;" — "&amp;VLOOKUP(B360,'FLOTA TERCEROS'!$A:$D,3,0),"⚠ No encontrado")))</f>
        <v>AMAROK DC 2.0L TDI 180CV 4X4 — VOLKSWAGEN</v>
      </c>
      <c r="D360" s="38">
        <v>65</v>
      </c>
      <c r="E360" s="39">
        <v>273388</v>
      </c>
      <c r="F360" s="28" t="s">
        <v>121</v>
      </c>
      <c r="G360" s="40" t="s">
        <v>134</v>
      </c>
    </row>
    <row r="361" spans="1:7" ht="18" customHeight="1">
      <c r="A361" s="36">
        <v>45846</v>
      </c>
      <c r="B361" s="37" t="s">
        <v>92</v>
      </c>
      <c r="C361" s="25" t="str">
        <f>IF(B361="","",IFERROR(VLOOKUP(B361,FLOTA!$A:$D,4,0)&amp;" — "&amp;VLOOKUP(B361,FLOTA!$A:$D,3,0),IFERROR(VLOOKUP(B361,'FLOTA TERCEROS'!$A:$D,4,0)&amp;" — "&amp;VLOOKUP(B361,'FLOTA TERCEROS'!$A:$D,3,0),"⚠ No encontrado")))</f>
        <v>→ completar — MERCEDES BENZ</v>
      </c>
      <c r="D361" s="38">
        <v>20</v>
      </c>
      <c r="E361" s="39">
        <v>217102</v>
      </c>
      <c r="F361" s="28" t="s">
        <v>111</v>
      </c>
      <c r="G361" s="40" t="s">
        <v>133</v>
      </c>
    </row>
    <row r="362" spans="1:7" ht="18" customHeight="1">
      <c r="A362" s="36">
        <v>45849</v>
      </c>
      <c r="B362" s="37" t="s">
        <v>58</v>
      </c>
      <c r="C362" s="25" t="str">
        <f>IF(B362="","",IFERROR(VLOOKUP(B362,FLOTA!$A:$D,4,0)&amp;" — "&amp;VLOOKUP(B362,FLOTA!$A:$D,3,0),IFERROR(VLOOKUP(B362,'FLOTA TERCEROS'!$A:$D,4,0)&amp;" — "&amp;VLOOKUP(B362,'FLOTA TERCEROS'!$A:$D,3,0),"⚠ No encontrado")))</f>
        <v>SPRINTER 515 CDIC — MERCEDES BENZ</v>
      </c>
      <c r="D362" s="38">
        <v>45</v>
      </c>
      <c r="E362" s="39">
        <v>206351</v>
      </c>
      <c r="F362" s="28" t="s">
        <v>119</v>
      </c>
      <c r="G362" s="40" t="s">
        <v>133</v>
      </c>
    </row>
    <row r="363" spans="1:7" ht="18" customHeight="1">
      <c r="A363" s="36">
        <v>45849</v>
      </c>
      <c r="B363" s="37" t="s">
        <v>53</v>
      </c>
      <c r="C363" s="25" t="str">
        <f>IF(B363="","",IFERROR(VLOOKUP(B363,FLOTA!$A:$D,4,0)&amp;" — "&amp;VLOOKUP(B363,FLOTA!$A:$D,3,0),IFERROR(VLOOKUP(B363,'FLOTA TERCEROS'!$A:$D,4,0)&amp;" — "&amp;VLOOKUP(B363,'FLOTA TERCEROS'!$A:$D,3,0),"⚠ No encontrado")))</f>
        <v>AMAROK DC 2.0L TDI 180CV 4X4 — VOLKSWAGEN</v>
      </c>
      <c r="D363" s="38">
        <v>60</v>
      </c>
      <c r="E363" s="39">
        <v>273933</v>
      </c>
      <c r="F363" s="28" t="s">
        <v>121</v>
      </c>
      <c r="G363" s="40" t="s">
        <v>134</v>
      </c>
    </row>
    <row r="364" spans="1:7" ht="18" customHeight="1">
      <c r="A364" s="36">
        <v>45849</v>
      </c>
      <c r="B364" s="37" t="s">
        <v>86</v>
      </c>
      <c r="C364" s="25" t="str">
        <f>IF(B364="","",IFERROR(VLOOKUP(B364,FLOTA!$A:$D,4,0)&amp;" — "&amp;VLOOKUP(B364,FLOTA!$A:$D,3,0),IFERROR(VLOOKUP(B364,'FLOTA TERCEROS'!$A:$D,4,0)&amp;" — "&amp;VLOOKUP(B364,'FLOTA TERCEROS'!$A:$D,3,0),"⚠ No encontrado")))</f>
        <v>RANGER — FORD</v>
      </c>
      <c r="D364" s="38">
        <v>70</v>
      </c>
      <c r="E364" s="39">
        <v>63069</v>
      </c>
      <c r="F364" s="28" t="s">
        <v>116</v>
      </c>
      <c r="G364" s="40" t="s">
        <v>139</v>
      </c>
    </row>
    <row r="365" spans="1:7" ht="18" customHeight="1">
      <c r="A365" s="36">
        <v>45849</v>
      </c>
      <c r="B365" s="37" t="s">
        <v>24</v>
      </c>
      <c r="C365" s="25" t="str">
        <f>IF(B365="","",IFERROR(VLOOKUP(B365,FLOTA!$A:$D,4,0)&amp;" — "&amp;VLOOKUP(B365,FLOTA!$A:$D,3,0),IFERROR(VLOOKUP(B365,'FLOTA TERCEROS'!$A:$D,4,0)&amp;" — "&amp;VLOOKUP(B365,'FLOTA TERCEROS'!$A:$D,3,0),"⚠ No encontrado")))</f>
        <v>RANGER 2 CD 4X4 XLS 3.2L — FORD</v>
      </c>
      <c r="D365" s="38">
        <v>80</v>
      </c>
      <c r="E365" s="39">
        <v>239469</v>
      </c>
      <c r="F365" s="28" t="s">
        <v>108</v>
      </c>
      <c r="G365" s="40" t="s">
        <v>140</v>
      </c>
    </row>
    <row r="366" spans="1:7" ht="18" customHeight="1">
      <c r="A366" s="36">
        <v>45849</v>
      </c>
      <c r="B366" s="37" t="s">
        <v>81</v>
      </c>
      <c r="C366" s="25" t="str">
        <f>IF(B366="","",IFERROR(VLOOKUP(B366,FLOTA!$A:$D,4,0)&amp;" — "&amp;VLOOKUP(B366,FLOTA!$A:$D,3,0),IFERROR(VLOOKUP(B366,'FLOTA TERCEROS'!$A:$D,4,0)&amp;" — "&amp;VLOOKUP(B366,'FLOTA TERCEROS'!$A:$D,3,0),"⚠ No encontrado")))</f>
        <v>RANGER — FORD</v>
      </c>
      <c r="D366" s="38">
        <v>75</v>
      </c>
      <c r="E366" s="39">
        <v>55837</v>
      </c>
      <c r="F366" s="28" t="s">
        <v>114</v>
      </c>
      <c r="G366" s="40" t="s">
        <v>138</v>
      </c>
    </row>
    <row r="367" spans="1:7" ht="18" customHeight="1">
      <c r="A367" s="36">
        <v>45849</v>
      </c>
      <c r="B367" s="37" t="s">
        <v>43</v>
      </c>
      <c r="C367" s="25" t="str">
        <f>IF(B367="","",IFERROR(VLOOKUP(B367,FLOTA!$A:$D,4,0)&amp;" — "&amp;VLOOKUP(B367,FLOTA!$A:$D,3,0),IFERROR(VLOOKUP(B367,'FLOTA TERCEROS'!$A:$D,4,0)&amp;" — "&amp;VLOOKUP(B367,'FLOTA TERCEROS'!$A:$D,3,0),"⚠ No encontrado")))</f>
        <v>AMAROK CS 2.0 140CV — VOLKSWAGEN</v>
      </c>
      <c r="D367" s="38">
        <v>80</v>
      </c>
      <c r="E367" s="39">
        <v>151149</v>
      </c>
      <c r="F367" s="28" t="s">
        <v>118</v>
      </c>
      <c r="G367" s="40" t="s">
        <v>128</v>
      </c>
    </row>
    <row r="368" spans="1:7" ht="18" customHeight="1">
      <c r="A368" s="36">
        <v>45852</v>
      </c>
      <c r="B368" s="37" t="s">
        <v>92</v>
      </c>
      <c r="C368" s="25" t="str">
        <f>IF(B368="","",IFERROR(VLOOKUP(B368,FLOTA!$A:$D,4,0)&amp;" — "&amp;VLOOKUP(B368,FLOTA!$A:$D,3,0),IFERROR(VLOOKUP(B368,'FLOTA TERCEROS'!$A:$D,4,0)&amp;" — "&amp;VLOOKUP(B368,'FLOTA TERCEROS'!$A:$D,3,0),"⚠ No encontrado")))</f>
        <v>→ completar — MERCEDES BENZ</v>
      </c>
      <c r="D368" s="38">
        <v>75</v>
      </c>
      <c r="E368" s="39">
        <v>217788</v>
      </c>
      <c r="F368" s="28" t="s">
        <v>112</v>
      </c>
      <c r="G368" s="40" t="s">
        <v>133</v>
      </c>
    </row>
    <row r="369" spans="1:7" ht="18" customHeight="1">
      <c r="A369" s="36">
        <v>45855</v>
      </c>
      <c r="B369" s="37" t="s">
        <v>53</v>
      </c>
      <c r="C369" s="25" t="str">
        <f>IF(B369="","",IFERROR(VLOOKUP(B369,FLOTA!$A:$D,4,0)&amp;" — "&amp;VLOOKUP(B369,FLOTA!$A:$D,3,0),IFERROR(VLOOKUP(B369,'FLOTA TERCEROS'!$A:$D,4,0)&amp;" — "&amp;VLOOKUP(B369,'FLOTA TERCEROS'!$A:$D,3,0),"⚠ No encontrado")))</f>
        <v>AMAROK DC 2.0L TDI 180CV 4X4 — VOLKSWAGEN</v>
      </c>
      <c r="D369" s="38">
        <v>65</v>
      </c>
      <c r="E369" s="39">
        <v>274613</v>
      </c>
      <c r="F369" s="28" t="s">
        <v>121</v>
      </c>
      <c r="G369" s="40" t="s">
        <v>134</v>
      </c>
    </row>
    <row r="370" spans="1:7" ht="18" customHeight="1">
      <c r="A370" s="36">
        <v>45855</v>
      </c>
      <c r="B370" s="37" t="s">
        <v>43</v>
      </c>
      <c r="C370" s="25" t="str">
        <f>IF(B370="","",IFERROR(VLOOKUP(B370,FLOTA!$A:$D,4,0)&amp;" — "&amp;VLOOKUP(B370,FLOTA!$A:$D,3,0),IFERROR(VLOOKUP(B370,'FLOTA TERCEROS'!$A:$D,4,0)&amp;" — "&amp;VLOOKUP(B370,'FLOTA TERCEROS'!$A:$D,3,0),"⚠ No encontrado")))</f>
        <v>AMAROK CS 2.0 140CV — VOLKSWAGEN</v>
      </c>
      <c r="D370" s="38">
        <v>75</v>
      </c>
      <c r="E370" s="39">
        <v>151930</v>
      </c>
      <c r="F370" s="28" t="s">
        <v>118</v>
      </c>
      <c r="G370" s="40" t="s">
        <v>128</v>
      </c>
    </row>
    <row r="371" spans="1:7" ht="18" customHeight="1">
      <c r="A371" s="36">
        <v>45855</v>
      </c>
      <c r="B371" s="37" t="s">
        <v>58</v>
      </c>
      <c r="C371" s="25" t="str">
        <f>IF(B371="","",IFERROR(VLOOKUP(B371,FLOTA!$A:$D,4,0)&amp;" — "&amp;VLOOKUP(B371,FLOTA!$A:$D,3,0),IFERROR(VLOOKUP(B371,'FLOTA TERCEROS'!$A:$D,4,0)&amp;" — "&amp;VLOOKUP(B371,'FLOTA TERCEROS'!$A:$D,3,0),"⚠ No encontrado")))</f>
        <v>SPRINTER 515 CDIC — MERCEDES BENZ</v>
      </c>
      <c r="D371" s="38">
        <v>65</v>
      </c>
      <c r="E371" s="39">
        <v>206800</v>
      </c>
      <c r="F371" s="28" t="s">
        <v>119</v>
      </c>
      <c r="G371" s="40" t="s">
        <v>133</v>
      </c>
    </row>
    <row r="372" spans="1:7" ht="18" customHeight="1">
      <c r="A372" s="36">
        <v>45856</v>
      </c>
      <c r="B372" s="37" t="s">
        <v>36</v>
      </c>
      <c r="C372" s="25" t="str">
        <f>IF(B372="","",IFERROR(VLOOKUP(B372,FLOTA!$A:$D,4,0)&amp;" — "&amp;VLOOKUP(B372,FLOTA!$A:$D,3,0),IFERROR(VLOOKUP(B372,'FLOTA TERCEROS'!$A:$D,4,0)&amp;" — "&amp;VLOOKUP(B372,'FLOTA TERCEROS'!$A:$D,3,0),"⚠ No encontrado")))</f>
        <v>HILUX 4X2 CD SRV 3.0 — TOYOTA</v>
      </c>
      <c r="D372" s="38">
        <v>70</v>
      </c>
      <c r="E372" s="39">
        <v>297934</v>
      </c>
      <c r="F372" s="28" t="s">
        <v>113</v>
      </c>
      <c r="G372" s="40" t="s">
        <v>133</v>
      </c>
    </row>
    <row r="373" spans="1:7" ht="18" customHeight="1">
      <c r="A373" s="36">
        <v>45856</v>
      </c>
      <c r="B373" s="37" t="s">
        <v>24</v>
      </c>
      <c r="C373" s="25" t="str">
        <f>IF(B373="","",IFERROR(VLOOKUP(B373,FLOTA!$A:$D,4,0)&amp;" — "&amp;VLOOKUP(B373,FLOTA!$A:$D,3,0),IFERROR(VLOOKUP(B373,'FLOTA TERCEROS'!$A:$D,4,0)&amp;" — "&amp;VLOOKUP(B373,'FLOTA TERCEROS'!$A:$D,3,0),"⚠ No encontrado")))</f>
        <v>RANGER 2 CD 4X4 XLS 3.2L — FORD</v>
      </c>
      <c r="D373" s="38">
        <v>80</v>
      </c>
      <c r="E373" s="39">
        <v>240316</v>
      </c>
      <c r="F373" s="28" t="s">
        <v>108</v>
      </c>
      <c r="G373" s="40" t="s">
        <v>140</v>
      </c>
    </row>
    <row r="374" spans="1:7" ht="18" customHeight="1">
      <c r="A374" s="36">
        <v>45856</v>
      </c>
      <c r="B374" s="37" t="s">
        <v>86</v>
      </c>
      <c r="C374" s="25" t="str">
        <f>IF(B374="","",IFERROR(VLOOKUP(B374,FLOTA!$A:$D,4,0)&amp;" — "&amp;VLOOKUP(B374,FLOTA!$A:$D,3,0),IFERROR(VLOOKUP(B374,'FLOTA TERCEROS'!$A:$D,4,0)&amp;" — "&amp;VLOOKUP(B374,'FLOTA TERCEROS'!$A:$D,3,0),"⚠ No encontrado")))</f>
        <v>RANGER — FORD</v>
      </c>
      <c r="D374" s="38">
        <v>75</v>
      </c>
      <c r="E374" s="39">
        <v>63816</v>
      </c>
      <c r="F374" s="28" t="s">
        <v>116</v>
      </c>
      <c r="G374" s="40" t="s">
        <v>139</v>
      </c>
    </row>
    <row r="375" spans="1:7" ht="18" customHeight="1">
      <c r="A375" s="36">
        <v>45859</v>
      </c>
      <c r="B375" s="37" t="s">
        <v>92</v>
      </c>
      <c r="C375" s="25" t="str">
        <f>IF(B375="","",IFERROR(VLOOKUP(B375,FLOTA!$A:$D,4,0)&amp;" — "&amp;VLOOKUP(B375,FLOTA!$A:$D,3,0),IFERROR(VLOOKUP(B375,'FLOTA TERCEROS'!$A:$D,4,0)&amp;" — "&amp;VLOOKUP(B375,'FLOTA TERCEROS'!$A:$D,3,0),"⚠ No encontrado")))</f>
        <v>→ completar — MERCEDES BENZ</v>
      </c>
      <c r="D375" s="38">
        <v>75</v>
      </c>
      <c r="E375" s="39">
        <v>218408</v>
      </c>
      <c r="F375" s="28" t="s">
        <v>111</v>
      </c>
      <c r="G375" s="40" t="s">
        <v>133</v>
      </c>
    </row>
    <row r="376" spans="1:7" ht="18" customHeight="1">
      <c r="A376" s="36">
        <v>45859</v>
      </c>
      <c r="B376" s="37" t="s">
        <v>43</v>
      </c>
      <c r="C376" s="25" t="str">
        <f>IF(B376="","",IFERROR(VLOOKUP(B376,FLOTA!$A:$D,4,0)&amp;" — "&amp;VLOOKUP(B376,FLOTA!$A:$D,3,0),IFERROR(VLOOKUP(B376,'FLOTA TERCEROS'!$A:$D,4,0)&amp;" — "&amp;VLOOKUP(B376,'FLOTA TERCEROS'!$A:$D,3,0),"⚠ No encontrado")))</f>
        <v>AMAROK CS 2.0 140CV — VOLKSWAGEN</v>
      </c>
      <c r="D376" s="38">
        <v>75</v>
      </c>
      <c r="E376" s="39">
        <v>152648</v>
      </c>
      <c r="F376" s="28" t="s">
        <v>118</v>
      </c>
      <c r="G376" s="40" t="s">
        <v>128</v>
      </c>
    </row>
    <row r="377" spans="1:7" ht="18" customHeight="1">
      <c r="A377" s="36">
        <v>45861</v>
      </c>
      <c r="B377" s="37" t="s">
        <v>36</v>
      </c>
      <c r="C377" s="25" t="str">
        <f>IF(B377="","",IFERROR(VLOOKUP(B377,FLOTA!$A:$D,4,0)&amp;" — "&amp;VLOOKUP(B377,FLOTA!$A:$D,3,0),IFERROR(VLOOKUP(B377,'FLOTA TERCEROS'!$A:$D,4,0)&amp;" — "&amp;VLOOKUP(B377,'FLOTA TERCEROS'!$A:$D,3,0),"⚠ No encontrado")))</f>
        <v>HILUX 4X2 CD SRV 3.0 — TOYOTA</v>
      </c>
      <c r="D377" s="38">
        <v>60</v>
      </c>
      <c r="E377" s="39">
        <v>298636</v>
      </c>
      <c r="F377" s="28" t="s">
        <v>112</v>
      </c>
      <c r="G377" s="40" t="s">
        <v>133</v>
      </c>
    </row>
    <row r="378" spans="1:7" ht="18" customHeight="1">
      <c r="A378" s="36">
        <v>45861</v>
      </c>
      <c r="B378" s="37" t="s">
        <v>58</v>
      </c>
      <c r="C378" s="25" t="str">
        <f>IF(B378="","",IFERROR(VLOOKUP(B378,FLOTA!$A:$D,4,0)&amp;" — "&amp;VLOOKUP(B378,FLOTA!$A:$D,3,0),IFERROR(VLOOKUP(B378,'FLOTA TERCEROS'!$A:$D,4,0)&amp;" — "&amp;VLOOKUP(B378,'FLOTA TERCEROS'!$A:$D,3,0),"⚠ No encontrado")))</f>
        <v>SPRINTER 515 CDIC — MERCEDES BENZ</v>
      </c>
      <c r="D378" s="38">
        <v>60</v>
      </c>
      <c r="E378" s="39"/>
      <c r="F378" s="28" t="s">
        <v>113</v>
      </c>
      <c r="G378" s="40" t="s">
        <v>133</v>
      </c>
    </row>
    <row r="379" spans="1:7" ht="18" customHeight="1">
      <c r="A379" s="36">
        <v>45862</v>
      </c>
      <c r="B379" s="37" t="s">
        <v>81</v>
      </c>
      <c r="C379" s="25" t="str">
        <f>IF(B379="","",IFERROR(VLOOKUP(B379,FLOTA!$A:$D,4,0)&amp;" — "&amp;VLOOKUP(B379,FLOTA!$A:$D,3,0),IFERROR(VLOOKUP(B379,'FLOTA TERCEROS'!$A:$D,4,0)&amp;" — "&amp;VLOOKUP(B379,'FLOTA TERCEROS'!$A:$D,3,0),"⚠ No encontrado")))</f>
        <v>RANGER — FORD</v>
      </c>
      <c r="D379" s="38">
        <v>60</v>
      </c>
      <c r="E379" s="39">
        <v>56587</v>
      </c>
      <c r="F379" s="28" t="s">
        <v>114</v>
      </c>
      <c r="G379" s="40" t="s">
        <v>138</v>
      </c>
    </row>
    <row r="380" spans="1:7" ht="18" customHeight="1">
      <c r="A380" s="36">
        <v>45862</v>
      </c>
      <c r="B380" s="37" t="s">
        <v>53</v>
      </c>
      <c r="C380" s="25" t="str">
        <f>IF(B380="","",IFERROR(VLOOKUP(B380,FLOTA!$A:$D,4,0)&amp;" — "&amp;VLOOKUP(B380,FLOTA!$A:$D,3,0),IFERROR(VLOOKUP(B380,'FLOTA TERCEROS'!$A:$D,4,0)&amp;" — "&amp;VLOOKUP(B380,'FLOTA TERCEROS'!$A:$D,3,0),"⚠ No encontrado")))</f>
        <v>AMAROK DC 2.0L TDI 180CV 4X4 — VOLKSWAGEN</v>
      </c>
      <c r="D380" s="38">
        <v>70</v>
      </c>
      <c r="E380" s="39">
        <v>275218</v>
      </c>
      <c r="F380" s="28" t="s">
        <v>121</v>
      </c>
      <c r="G380" s="40" t="s">
        <v>134</v>
      </c>
    </row>
    <row r="381" spans="1:7" ht="18" customHeight="1">
      <c r="A381" s="36">
        <v>45863</v>
      </c>
      <c r="B381" s="37" t="s">
        <v>24</v>
      </c>
      <c r="C381" s="25" t="str">
        <f>IF(B381="","",IFERROR(VLOOKUP(B381,FLOTA!$A:$D,4,0)&amp;" — "&amp;VLOOKUP(B381,FLOTA!$A:$D,3,0),IFERROR(VLOOKUP(B381,'FLOTA TERCEROS'!$A:$D,4,0)&amp;" — "&amp;VLOOKUP(B381,'FLOTA TERCEROS'!$A:$D,3,0),"⚠ No encontrado")))</f>
        <v>RANGER 2 CD 4X4 XLS 3.2L — FORD</v>
      </c>
      <c r="D381" s="38">
        <v>65</v>
      </c>
      <c r="E381" s="39">
        <v>241132</v>
      </c>
      <c r="F381" s="28" t="s">
        <v>108</v>
      </c>
      <c r="G381" s="40" t="s">
        <v>140</v>
      </c>
    </row>
    <row r="382" spans="1:7" ht="18" customHeight="1">
      <c r="A382" s="36">
        <v>45863</v>
      </c>
      <c r="B382" s="37" t="s">
        <v>92</v>
      </c>
      <c r="C382" s="25" t="str">
        <f>IF(B382="","",IFERROR(VLOOKUP(B382,FLOTA!$A:$D,4,0)&amp;" — "&amp;VLOOKUP(B382,FLOTA!$A:$D,3,0),IFERROR(VLOOKUP(B382,'FLOTA TERCEROS'!$A:$D,4,0)&amp;" — "&amp;VLOOKUP(B382,'FLOTA TERCEROS'!$A:$D,3,0),"⚠ No encontrado")))</f>
        <v>→ completar — MERCEDES BENZ</v>
      </c>
      <c r="D382" s="38">
        <v>30</v>
      </c>
      <c r="E382" s="39">
        <v>218951</v>
      </c>
      <c r="F382" s="28" t="s">
        <v>111</v>
      </c>
      <c r="G382" s="40" t="s">
        <v>133</v>
      </c>
    </row>
    <row r="383" spans="1:7" ht="18" customHeight="1">
      <c r="A383" s="36">
        <v>45864</v>
      </c>
      <c r="B383" s="37" t="s">
        <v>58</v>
      </c>
      <c r="C383" s="25" t="str">
        <f>IF(B383="","",IFERROR(VLOOKUP(B383,FLOTA!$A:$D,4,0)&amp;" — "&amp;VLOOKUP(B383,FLOTA!$A:$D,3,0),IFERROR(VLOOKUP(B383,'FLOTA TERCEROS'!$A:$D,4,0)&amp;" — "&amp;VLOOKUP(B383,'FLOTA TERCEROS'!$A:$D,3,0),"⚠ No encontrado")))</f>
        <v>SPRINTER 515 CDIC — MERCEDES BENZ</v>
      </c>
      <c r="D383" s="38">
        <v>60</v>
      </c>
      <c r="E383" s="39">
        <v>207666</v>
      </c>
      <c r="F383" s="28" t="s">
        <v>111</v>
      </c>
      <c r="G383" s="40" t="s">
        <v>133</v>
      </c>
    </row>
    <row r="384" spans="1:7" ht="18" customHeight="1">
      <c r="A384" s="36">
        <v>45866</v>
      </c>
      <c r="B384" s="37" t="s">
        <v>43</v>
      </c>
      <c r="C384" s="25" t="str">
        <f>IF(B384="","",IFERROR(VLOOKUP(B384,FLOTA!$A:$D,4,0)&amp;" — "&amp;VLOOKUP(B384,FLOTA!$A:$D,3,0),IFERROR(VLOOKUP(B384,'FLOTA TERCEROS'!$A:$D,4,0)&amp;" — "&amp;VLOOKUP(B384,'FLOTA TERCEROS'!$A:$D,3,0),"⚠ No encontrado")))</f>
        <v>AMAROK CS 2.0 140CV — VOLKSWAGEN</v>
      </c>
      <c r="D384" s="38">
        <v>80</v>
      </c>
      <c r="E384" s="39">
        <v>153516</v>
      </c>
      <c r="F384" s="28" t="s">
        <v>118</v>
      </c>
      <c r="G384" s="40" t="s">
        <v>128</v>
      </c>
    </row>
    <row r="385" spans="1:7" ht="18" customHeight="1">
      <c r="A385" s="36">
        <v>45866</v>
      </c>
      <c r="B385" s="37" t="s">
        <v>36</v>
      </c>
      <c r="C385" s="25" t="str">
        <f>IF(B385="","",IFERROR(VLOOKUP(B385,FLOTA!$A:$D,4,0)&amp;" — "&amp;VLOOKUP(B385,FLOTA!$A:$D,3,0),IFERROR(VLOOKUP(B385,'FLOTA TERCEROS'!$A:$D,4,0)&amp;" — "&amp;VLOOKUP(B385,'FLOTA TERCEROS'!$A:$D,3,0),"⚠ No encontrado")))</f>
        <v>HILUX 4X2 CD SRV 3.0 — TOYOTA</v>
      </c>
      <c r="D385" s="38">
        <v>65</v>
      </c>
      <c r="E385" s="39">
        <v>299276</v>
      </c>
      <c r="F385" s="28" t="s">
        <v>113</v>
      </c>
      <c r="G385" s="40" t="s">
        <v>133</v>
      </c>
    </row>
    <row r="386" spans="1:7" ht="18" customHeight="1">
      <c r="A386" s="36">
        <v>45866</v>
      </c>
      <c r="B386" s="37" t="s">
        <v>49</v>
      </c>
      <c r="C386" s="25" t="str">
        <f>IF(B386="","",IFERROR(VLOOKUP(B386,FLOTA!$A:$D,4,0)&amp;" — "&amp;VLOOKUP(B386,FLOTA!$A:$D,3,0),IFERROR(VLOOKUP(B386,'FLOTA TERCEROS'!$A:$D,4,0)&amp;" — "&amp;VLOOKUP(B386,'FLOTA TERCEROS'!$A:$D,3,0),"⚠ No encontrado")))</f>
        <v>AMAROK CD 2.0 4X4 180CV — VOLKSWAGEN</v>
      </c>
      <c r="D386" s="38">
        <v>70</v>
      </c>
      <c r="E386" s="39">
        <v>211481</v>
      </c>
      <c r="F386" s="28" t="s">
        <v>112</v>
      </c>
      <c r="G386" s="40" t="s">
        <v>133</v>
      </c>
    </row>
    <row r="387" spans="1:7" ht="18" customHeight="1">
      <c r="A387" s="36">
        <v>45866</v>
      </c>
      <c r="B387" s="37" t="s">
        <v>92</v>
      </c>
      <c r="C387" s="25" t="str">
        <f>IF(B387="","",IFERROR(VLOOKUP(B387,FLOTA!$A:$D,4,0)&amp;" — "&amp;VLOOKUP(B387,FLOTA!$A:$D,3,0),IFERROR(VLOOKUP(B387,'FLOTA TERCEROS'!$A:$D,4,0)&amp;" — "&amp;VLOOKUP(B387,'FLOTA TERCEROS'!$A:$D,3,0),"⚠ No encontrado")))</f>
        <v>→ completar — MERCEDES BENZ</v>
      </c>
      <c r="D387" s="38">
        <v>70</v>
      </c>
      <c r="E387" s="39">
        <v>219121</v>
      </c>
      <c r="F387" s="28" t="s">
        <v>111</v>
      </c>
      <c r="G387" s="40" t="s">
        <v>133</v>
      </c>
    </row>
    <row r="388" spans="1:7" ht="18" customHeight="1">
      <c r="A388" s="36">
        <v>45867</v>
      </c>
      <c r="B388" s="37" t="s">
        <v>86</v>
      </c>
      <c r="C388" s="25" t="str">
        <f>IF(B388="","",IFERROR(VLOOKUP(B388,FLOTA!$A:$D,4,0)&amp;" — "&amp;VLOOKUP(B388,FLOTA!$A:$D,3,0),IFERROR(VLOOKUP(B388,'FLOTA TERCEROS'!$A:$D,4,0)&amp;" — "&amp;VLOOKUP(B388,'FLOTA TERCEROS'!$A:$D,3,0),"⚠ No encontrado")))</f>
        <v>RANGER — FORD</v>
      </c>
      <c r="D388" s="38">
        <v>80</v>
      </c>
      <c r="E388" s="39">
        <v>64596</v>
      </c>
      <c r="F388" s="28" t="s">
        <v>116</v>
      </c>
      <c r="G388" s="40" t="s">
        <v>139</v>
      </c>
    </row>
    <row r="389" spans="1:7" ht="18" customHeight="1">
      <c r="A389" s="36">
        <v>45869</v>
      </c>
      <c r="B389" s="37" t="s">
        <v>53</v>
      </c>
      <c r="C389" s="25" t="str">
        <f>IF(B389="","",IFERROR(VLOOKUP(B389,FLOTA!$A:$D,4,0)&amp;" — "&amp;VLOOKUP(B389,FLOTA!$A:$D,3,0),IFERROR(VLOOKUP(B389,'FLOTA TERCEROS'!$A:$D,4,0)&amp;" — "&amp;VLOOKUP(B389,'FLOTA TERCEROS'!$A:$D,3,0),"⚠ No encontrado")))</f>
        <v>AMAROK DC 2.0L TDI 180CV 4X4 — VOLKSWAGEN</v>
      </c>
      <c r="D389" s="38">
        <v>75</v>
      </c>
      <c r="E389" s="39">
        <v>275923</v>
      </c>
      <c r="F389" s="28" t="s">
        <v>121</v>
      </c>
      <c r="G389" s="40" t="s">
        <v>134</v>
      </c>
    </row>
    <row r="390" spans="1:7" ht="18" customHeight="1">
      <c r="A390" s="36">
        <v>45869</v>
      </c>
      <c r="B390" s="37" t="s">
        <v>58</v>
      </c>
      <c r="C390" s="25" t="str">
        <f>IF(B390="","",IFERROR(VLOOKUP(B390,FLOTA!$A:$D,4,0)&amp;" — "&amp;VLOOKUP(B390,FLOTA!$A:$D,3,0),IFERROR(VLOOKUP(B390,'FLOTA TERCEROS'!$A:$D,4,0)&amp;" — "&amp;VLOOKUP(B390,'FLOTA TERCEROS'!$A:$D,3,0),"⚠ No encontrado")))</f>
        <v>SPRINTER 515 CDIC — MERCEDES BENZ</v>
      </c>
      <c r="D390" s="38">
        <v>60</v>
      </c>
      <c r="E390" s="39">
        <v>208054</v>
      </c>
      <c r="F390" s="28" t="s">
        <v>119</v>
      </c>
      <c r="G390" s="40" t="s">
        <v>133</v>
      </c>
    </row>
    <row r="391" spans="1:7" ht="18" customHeight="1">
      <c r="A391" s="36">
        <v>45871</v>
      </c>
      <c r="B391" s="37" t="s">
        <v>24</v>
      </c>
      <c r="C391" s="25" t="str">
        <f>IF(B391="","",IFERROR(VLOOKUP(B391,FLOTA!$A:$D,4,0)&amp;" — "&amp;VLOOKUP(B391,FLOTA!$A:$D,3,0),IFERROR(VLOOKUP(B391,'FLOTA TERCEROS'!$A:$D,4,0)&amp;" — "&amp;VLOOKUP(B391,'FLOTA TERCEROS'!$A:$D,3,0),"⚠ No encontrado")))</f>
        <v>RANGER 2 CD 4X4 XLS 3.2L — FORD</v>
      </c>
      <c r="D391" s="38">
        <v>70</v>
      </c>
      <c r="E391" s="39">
        <v>242143</v>
      </c>
      <c r="F391" s="28" t="s">
        <v>108</v>
      </c>
      <c r="G391" s="40" t="s">
        <v>140</v>
      </c>
    </row>
    <row r="392" spans="1:7" ht="18" customHeight="1">
      <c r="A392" s="36">
        <v>45871</v>
      </c>
      <c r="B392" s="37" t="s">
        <v>43</v>
      </c>
      <c r="C392" s="25" t="str">
        <f>IF(B392="","",IFERROR(VLOOKUP(B392,FLOTA!$A:$D,4,0)&amp;" — "&amp;VLOOKUP(B392,FLOTA!$A:$D,3,0),IFERROR(VLOOKUP(B392,'FLOTA TERCEROS'!$A:$D,4,0)&amp;" — "&amp;VLOOKUP(B392,'FLOTA TERCEROS'!$A:$D,3,0),"⚠ No encontrado")))</f>
        <v>AMAROK CS 2.0 140CV — VOLKSWAGEN</v>
      </c>
      <c r="D392" s="38">
        <v>70</v>
      </c>
      <c r="E392" s="39">
        <v>154255</v>
      </c>
      <c r="F392" s="28" t="s">
        <v>118</v>
      </c>
      <c r="G392" s="40" t="s">
        <v>128</v>
      </c>
    </row>
    <row r="393" spans="1:7" ht="18" customHeight="1">
      <c r="A393" s="36">
        <v>45872</v>
      </c>
      <c r="B393" s="37" t="s">
        <v>36</v>
      </c>
      <c r="C393" s="25" t="str">
        <f>IF(B393="","",IFERROR(VLOOKUP(B393,FLOTA!$A:$D,4,0)&amp;" — "&amp;VLOOKUP(B393,FLOTA!$A:$D,3,0),IFERROR(VLOOKUP(B393,'FLOTA TERCEROS'!$A:$D,4,0)&amp;" — "&amp;VLOOKUP(B393,'FLOTA TERCEROS'!$A:$D,3,0),"⚠ No encontrado")))</f>
        <v>HILUX 4X2 CD SRV 3.0 — TOYOTA</v>
      </c>
      <c r="D393" s="38">
        <v>80</v>
      </c>
      <c r="E393" s="39">
        <v>300101</v>
      </c>
      <c r="F393" s="28" t="s">
        <v>113</v>
      </c>
      <c r="G393" s="40" t="s">
        <v>133</v>
      </c>
    </row>
    <row r="394" spans="1:7" ht="18" customHeight="1">
      <c r="A394" s="36">
        <v>45873</v>
      </c>
      <c r="B394" s="37" t="s">
        <v>49</v>
      </c>
      <c r="C394" s="25" t="str">
        <f>IF(B394="","",IFERROR(VLOOKUP(B394,FLOTA!$A:$D,4,0)&amp;" — "&amp;VLOOKUP(B394,FLOTA!$A:$D,3,0),IFERROR(VLOOKUP(B394,'FLOTA TERCEROS'!$A:$D,4,0)&amp;" — "&amp;VLOOKUP(B394,'FLOTA TERCEROS'!$A:$D,3,0),"⚠ No encontrado")))</f>
        <v>AMAROK CD 2.0 4X4 180CV — VOLKSWAGEN</v>
      </c>
      <c r="D394" s="38">
        <v>65</v>
      </c>
      <c r="E394" s="39">
        <v>212142</v>
      </c>
      <c r="F394" s="28" t="s">
        <v>112</v>
      </c>
      <c r="G394" s="40" t="s">
        <v>133</v>
      </c>
    </row>
    <row r="395" spans="1:7" ht="18" customHeight="1">
      <c r="A395" s="36">
        <v>45873</v>
      </c>
      <c r="B395" s="37" t="s">
        <v>86</v>
      </c>
      <c r="C395" s="25" t="str">
        <f>IF(B395="","",IFERROR(VLOOKUP(B395,FLOTA!$A:$D,4,0)&amp;" — "&amp;VLOOKUP(B395,FLOTA!$A:$D,3,0),IFERROR(VLOOKUP(B395,'FLOTA TERCEROS'!$A:$D,4,0)&amp;" — "&amp;VLOOKUP(B395,'FLOTA TERCEROS'!$A:$D,3,0),"⚠ No encontrado")))</f>
        <v>RANGER — FORD</v>
      </c>
      <c r="D395" s="38">
        <v>70</v>
      </c>
      <c r="E395" s="39">
        <v>65246</v>
      </c>
      <c r="F395" s="28" t="s">
        <v>116</v>
      </c>
      <c r="G395" s="40" t="s">
        <v>139</v>
      </c>
    </row>
    <row r="396" spans="1:7" ht="18" customHeight="1">
      <c r="A396" s="36">
        <v>45873</v>
      </c>
      <c r="B396" s="37" t="s">
        <v>92</v>
      </c>
      <c r="C396" s="25" t="str">
        <f>IF(B396="","",IFERROR(VLOOKUP(B396,FLOTA!$A:$D,4,0)&amp;" — "&amp;VLOOKUP(B396,FLOTA!$A:$D,3,0),IFERROR(VLOOKUP(B396,'FLOTA TERCEROS'!$A:$D,4,0)&amp;" — "&amp;VLOOKUP(B396,'FLOTA TERCEROS'!$A:$D,3,0),"⚠ No encontrado")))</f>
        <v>→ completar — MERCEDES BENZ</v>
      </c>
      <c r="D396" s="38">
        <v>80</v>
      </c>
      <c r="E396" s="39">
        <v>219984</v>
      </c>
      <c r="F396" s="28" t="s">
        <v>111</v>
      </c>
      <c r="G396" s="40" t="s">
        <v>133</v>
      </c>
    </row>
    <row r="397" spans="1:7" ht="18" customHeight="1">
      <c r="A397" s="36">
        <v>45874</v>
      </c>
      <c r="B397" s="37" t="s">
        <v>53</v>
      </c>
      <c r="C397" s="25" t="str">
        <f>IF(B397="","",IFERROR(VLOOKUP(B397,FLOTA!$A:$D,4,0)&amp;" — "&amp;VLOOKUP(B397,FLOTA!$A:$D,3,0),IFERROR(VLOOKUP(B397,'FLOTA TERCEROS'!$A:$D,4,0)&amp;" — "&amp;VLOOKUP(B397,'FLOTA TERCEROS'!$A:$D,3,0),"⚠ No encontrado")))</f>
        <v>AMAROK DC 2.0L TDI 180CV 4X4 — VOLKSWAGEN</v>
      </c>
      <c r="D397" s="38">
        <v>65</v>
      </c>
      <c r="E397" s="39">
        <v>276510</v>
      </c>
      <c r="F397" s="28" t="s">
        <v>121</v>
      </c>
      <c r="G397" s="40" t="s">
        <v>134</v>
      </c>
    </row>
    <row r="398" spans="1:7" ht="18" customHeight="1">
      <c r="A398" s="36">
        <v>45876</v>
      </c>
      <c r="B398" s="37" t="s">
        <v>36</v>
      </c>
      <c r="C398" s="25" t="str">
        <f>IF(B398="","",IFERROR(VLOOKUP(B398,FLOTA!$A:$D,4,0)&amp;" — "&amp;VLOOKUP(B398,FLOTA!$A:$D,3,0),IFERROR(VLOOKUP(B398,'FLOTA TERCEROS'!$A:$D,4,0)&amp;" — "&amp;VLOOKUP(B398,'FLOTA TERCEROS'!$A:$D,3,0),"⚠ No encontrado")))</f>
        <v>HILUX 4X2 CD SRV 3.0 — TOYOTA</v>
      </c>
      <c r="D398" s="38">
        <v>70</v>
      </c>
      <c r="E398" s="39">
        <v>300808</v>
      </c>
      <c r="F398" s="28" t="s">
        <v>113</v>
      </c>
      <c r="G398" s="40" t="s">
        <v>133</v>
      </c>
    </row>
    <row r="399" spans="1:7" ht="18" customHeight="1">
      <c r="A399" s="36">
        <v>45877</v>
      </c>
      <c r="B399" s="37" t="s">
        <v>24</v>
      </c>
      <c r="C399" s="25" t="str">
        <f>IF(B399="","",IFERROR(VLOOKUP(B399,FLOTA!$A:$D,4,0)&amp;" — "&amp;VLOOKUP(B399,FLOTA!$A:$D,3,0),IFERROR(VLOOKUP(B399,'FLOTA TERCEROS'!$A:$D,4,0)&amp;" — "&amp;VLOOKUP(B399,'FLOTA TERCEROS'!$A:$D,3,0),"⚠ No encontrado")))</f>
        <v>RANGER 2 CD 4X4 XLS 3.2L — FORD</v>
      </c>
      <c r="D399" s="38">
        <v>65</v>
      </c>
      <c r="E399" s="39">
        <v>242763</v>
      </c>
      <c r="F399" s="28" t="s">
        <v>108</v>
      </c>
      <c r="G399" s="40" t="s">
        <v>140</v>
      </c>
    </row>
    <row r="400" spans="1:7" ht="18" customHeight="1">
      <c r="A400" s="36">
        <v>45878</v>
      </c>
      <c r="B400" s="37" t="s">
        <v>43</v>
      </c>
      <c r="C400" s="25" t="str">
        <f>IF(B400="","",IFERROR(VLOOKUP(B400,FLOTA!$A:$D,4,0)&amp;" — "&amp;VLOOKUP(B400,FLOTA!$A:$D,3,0),IFERROR(VLOOKUP(B400,'FLOTA TERCEROS'!$A:$D,4,0)&amp;" — "&amp;VLOOKUP(B400,'FLOTA TERCEROS'!$A:$D,3,0),"⚠ No encontrado")))</f>
        <v>AMAROK CS 2.0 140CV — VOLKSWAGEN</v>
      </c>
      <c r="D400" s="38">
        <v>80</v>
      </c>
      <c r="E400" s="39">
        <v>155016</v>
      </c>
      <c r="F400" s="28" t="s">
        <v>118</v>
      </c>
      <c r="G400" s="40" t="s">
        <v>128</v>
      </c>
    </row>
    <row r="401" spans="1:7" ht="18" customHeight="1">
      <c r="A401" s="36">
        <v>45880</v>
      </c>
      <c r="B401" s="37" t="s">
        <v>58</v>
      </c>
      <c r="C401" s="25" t="str">
        <f>IF(B401="","",IFERROR(VLOOKUP(B401,FLOTA!$A:$D,4,0)&amp;" — "&amp;VLOOKUP(B401,FLOTA!$A:$D,3,0),IFERROR(VLOOKUP(B401,'FLOTA TERCEROS'!$A:$D,4,0)&amp;" — "&amp;VLOOKUP(B401,'FLOTA TERCEROS'!$A:$D,3,0),"⚠ No encontrado")))</f>
        <v>SPRINTER 515 CDIC — MERCEDES BENZ</v>
      </c>
      <c r="D401" s="38">
        <v>60</v>
      </c>
      <c r="E401" s="39">
        <v>208887</v>
      </c>
      <c r="F401" s="28" t="s">
        <v>113</v>
      </c>
      <c r="G401" s="40" t="s">
        <v>133</v>
      </c>
    </row>
    <row r="402" spans="1:7" ht="18" customHeight="1">
      <c r="A402" s="36">
        <v>45880</v>
      </c>
      <c r="B402" s="37" t="s">
        <v>53</v>
      </c>
      <c r="C402" s="25" t="str">
        <f>IF(B402="","",IFERROR(VLOOKUP(B402,FLOTA!$A:$D,4,0)&amp;" — "&amp;VLOOKUP(B402,FLOTA!$A:$D,3,0),IFERROR(VLOOKUP(B402,'FLOTA TERCEROS'!$A:$D,4,0)&amp;" — "&amp;VLOOKUP(B402,'FLOTA TERCEROS'!$A:$D,3,0),"⚠ No encontrado")))</f>
        <v>AMAROK DC 2.0L TDI 180CV 4X4 — VOLKSWAGEN</v>
      </c>
      <c r="D402" s="38">
        <v>70</v>
      </c>
      <c r="E402" s="39">
        <v>277198</v>
      </c>
      <c r="F402" s="28" t="s">
        <v>121</v>
      </c>
      <c r="G402" s="40" t="s">
        <v>134</v>
      </c>
    </row>
    <row r="403" spans="1:7" ht="18" customHeight="1">
      <c r="A403" s="36">
        <v>45880</v>
      </c>
      <c r="B403" s="37" t="s">
        <v>92</v>
      </c>
      <c r="C403" s="25" t="str">
        <f>IF(B403="","",IFERROR(VLOOKUP(B403,FLOTA!$A:$D,4,0)&amp;" — "&amp;VLOOKUP(B403,FLOTA!$A:$D,3,0),IFERROR(VLOOKUP(B403,'FLOTA TERCEROS'!$A:$D,4,0)&amp;" — "&amp;VLOOKUP(B403,'FLOTA TERCEROS'!$A:$D,3,0),"⚠ No encontrado")))</f>
        <v>→ completar — MERCEDES BENZ</v>
      </c>
      <c r="D403" s="38">
        <v>75</v>
      </c>
      <c r="E403" s="39">
        <v>220750</v>
      </c>
      <c r="F403" s="28" t="s">
        <v>111</v>
      </c>
      <c r="G403" s="40" t="s">
        <v>133</v>
      </c>
    </row>
    <row r="404" spans="1:7" ht="18" customHeight="1">
      <c r="A404" s="36">
        <v>45880</v>
      </c>
      <c r="B404" s="37" t="s">
        <v>86</v>
      </c>
      <c r="C404" s="25" t="str">
        <f>IF(B404="","",IFERROR(VLOOKUP(B404,FLOTA!$A:$D,4,0)&amp;" — "&amp;VLOOKUP(B404,FLOTA!$A:$D,3,0),IFERROR(VLOOKUP(B404,'FLOTA TERCEROS'!$A:$D,4,0)&amp;" — "&amp;VLOOKUP(B404,'FLOTA TERCEROS'!$A:$D,3,0),"⚠ No encontrado")))</f>
        <v>RANGER — FORD</v>
      </c>
      <c r="D404" s="38">
        <v>70</v>
      </c>
      <c r="E404" s="39">
        <v>65865</v>
      </c>
      <c r="F404" s="28" t="s">
        <v>116</v>
      </c>
      <c r="G404" s="40" t="s">
        <v>139</v>
      </c>
    </row>
    <row r="405" spans="1:7" ht="18" customHeight="1">
      <c r="A405" s="36">
        <v>45881</v>
      </c>
      <c r="B405" s="37" t="s">
        <v>81</v>
      </c>
      <c r="C405" s="25" t="str">
        <f>IF(B405="","",IFERROR(VLOOKUP(B405,FLOTA!$A:$D,4,0)&amp;" — "&amp;VLOOKUP(B405,FLOTA!$A:$D,3,0),IFERROR(VLOOKUP(B405,'FLOTA TERCEROS'!$A:$D,4,0)&amp;" — "&amp;VLOOKUP(B405,'FLOTA TERCEROS'!$A:$D,3,0),"⚠ No encontrado")))</f>
        <v>RANGER — FORD</v>
      </c>
      <c r="D405" s="38">
        <v>70</v>
      </c>
      <c r="E405" s="39">
        <v>57707</v>
      </c>
      <c r="F405" s="28" t="s">
        <v>114</v>
      </c>
      <c r="G405" s="40" t="s">
        <v>138</v>
      </c>
    </row>
    <row r="406" spans="1:7" ht="18" customHeight="1">
      <c r="A406" s="36">
        <v>45882</v>
      </c>
      <c r="B406" s="37" t="s">
        <v>66</v>
      </c>
      <c r="C406" s="25" t="str">
        <f>IF(B406="","",IFERROR(VLOOKUP(B406,FLOTA!$A:$D,4,0)&amp;" — "&amp;VLOOKUP(B406,FLOTA!$A:$D,3,0),IFERROR(VLOOKUP(B406,'FLOTA TERCEROS'!$A:$D,4,0)&amp;" — "&amp;VLOOKUP(B406,'FLOTA TERCEROS'!$A:$D,3,0),"⚠ No encontrado")))</f>
        <v>SPRINTER 515 CDIC — MERCEDES BENZ</v>
      </c>
      <c r="D406" s="38">
        <v>50</v>
      </c>
      <c r="E406" s="39"/>
      <c r="F406" s="28" t="s">
        <v>112</v>
      </c>
      <c r="G406" s="40" t="s">
        <v>133</v>
      </c>
    </row>
    <row r="407" spans="1:7" ht="18" customHeight="1">
      <c r="A407" s="36">
        <v>45882</v>
      </c>
      <c r="B407" s="37" t="s">
        <v>24</v>
      </c>
      <c r="C407" s="25" t="str">
        <f>IF(B407="","",IFERROR(VLOOKUP(B407,FLOTA!$A:$D,4,0)&amp;" — "&amp;VLOOKUP(B407,FLOTA!$A:$D,3,0),IFERROR(VLOOKUP(B407,'FLOTA TERCEROS'!$A:$D,4,0)&amp;" — "&amp;VLOOKUP(B407,'FLOTA TERCEROS'!$A:$D,3,0),"⚠ No encontrado")))</f>
        <v>RANGER 2 CD 4X4 XLS 3.2L — FORD</v>
      </c>
      <c r="D407" s="38">
        <v>45</v>
      </c>
      <c r="E407" s="39">
        <v>243307</v>
      </c>
      <c r="F407" s="28" t="s">
        <v>108</v>
      </c>
      <c r="G407" s="40" t="s">
        <v>140</v>
      </c>
    </row>
    <row r="408" spans="1:7" ht="18" customHeight="1">
      <c r="A408" s="36">
        <v>45883</v>
      </c>
      <c r="B408" s="37" t="s">
        <v>36</v>
      </c>
      <c r="C408" s="25" t="str">
        <f>IF(B408="","",IFERROR(VLOOKUP(B408,FLOTA!$A:$D,4,0)&amp;" — "&amp;VLOOKUP(B408,FLOTA!$A:$D,3,0),IFERROR(VLOOKUP(B408,'FLOTA TERCEROS'!$A:$D,4,0)&amp;" — "&amp;VLOOKUP(B408,'FLOTA TERCEROS'!$A:$D,3,0),"⚠ No encontrado")))</f>
        <v>HILUX 4X2 CD SRV 3.0 — TOYOTA</v>
      </c>
      <c r="D408" s="38">
        <v>75</v>
      </c>
      <c r="E408" s="39">
        <v>301511</v>
      </c>
      <c r="F408" s="28" t="s">
        <v>119</v>
      </c>
      <c r="G408" s="40" t="s">
        <v>133</v>
      </c>
    </row>
    <row r="409" spans="1:7" ht="18" customHeight="1">
      <c r="A409" s="36">
        <v>45883</v>
      </c>
      <c r="B409" s="37" t="s">
        <v>43</v>
      </c>
      <c r="C409" s="25" t="str">
        <f>IF(B409="","",IFERROR(VLOOKUP(B409,FLOTA!$A:$D,4,0)&amp;" — "&amp;VLOOKUP(B409,FLOTA!$A:$D,3,0),IFERROR(VLOOKUP(B409,'FLOTA TERCEROS'!$A:$D,4,0)&amp;" — "&amp;VLOOKUP(B409,'FLOTA TERCEROS'!$A:$D,3,0),"⚠ No encontrado")))</f>
        <v>AMAROK CS 2.0 140CV — VOLKSWAGEN</v>
      </c>
      <c r="D409" s="38">
        <v>80</v>
      </c>
      <c r="E409" s="39">
        <v>155829</v>
      </c>
      <c r="F409" s="28" t="s">
        <v>118</v>
      </c>
      <c r="G409" s="40" t="s">
        <v>128</v>
      </c>
    </row>
    <row r="410" spans="1:7" ht="18" customHeight="1">
      <c r="A410" s="36">
        <v>45883</v>
      </c>
      <c r="B410" s="37" t="s">
        <v>58</v>
      </c>
      <c r="C410" s="25" t="str">
        <f>IF(B410="","",IFERROR(VLOOKUP(B410,FLOTA!$A:$D,4,0)&amp;" — "&amp;VLOOKUP(B410,FLOTA!$A:$D,3,0),IFERROR(VLOOKUP(B410,'FLOTA TERCEROS'!$A:$D,4,0)&amp;" — "&amp;VLOOKUP(B410,'FLOTA TERCEROS'!$A:$D,3,0),"⚠ No encontrado")))</f>
        <v>SPRINTER 515 CDIC — MERCEDES BENZ</v>
      </c>
      <c r="D410" s="38">
        <v>70</v>
      </c>
      <c r="E410" s="39">
        <v>209326</v>
      </c>
      <c r="F410" s="28" t="s">
        <v>113</v>
      </c>
      <c r="G410" s="40" t="s">
        <v>133</v>
      </c>
    </row>
    <row r="411" spans="1:7" ht="18" customHeight="1">
      <c r="A411" s="36">
        <v>45883</v>
      </c>
      <c r="B411" s="37" t="s">
        <v>49</v>
      </c>
      <c r="C411" s="25" t="str">
        <f>IF(B411="","",IFERROR(VLOOKUP(B411,FLOTA!$A:$D,4,0)&amp;" — "&amp;VLOOKUP(B411,FLOTA!$A:$D,3,0),IFERROR(VLOOKUP(B411,'FLOTA TERCEROS'!$A:$D,4,0)&amp;" — "&amp;VLOOKUP(B411,'FLOTA TERCEROS'!$A:$D,3,0),"⚠ No encontrado")))</f>
        <v>AMAROK CD 2.0 4X4 180CV — VOLKSWAGEN</v>
      </c>
      <c r="D411" s="38">
        <v>80</v>
      </c>
      <c r="E411" s="39">
        <v>212972</v>
      </c>
      <c r="F411" s="28" t="s">
        <v>112</v>
      </c>
      <c r="G411" s="40" t="s">
        <v>133</v>
      </c>
    </row>
    <row r="412" spans="1:7" ht="18" customHeight="1">
      <c r="A412" s="36">
        <v>45884</v>
      </c>
      <c r="B412" s="37" t="s">
        <v>90</v>
      </c>
      <c r="C412" s="25" t="str">
        <f>IF(B412="","",IFERROR(VLOOKUP(B412,FLOTA!$A:$D,4,0)&amp;" — "&amp;VLOOKUP(B412,FLOTA!$A:$D,3,0),IFERROR(VLOOKUP(B412,'FLOTA TERCEROS'!$A:$D,4,0)&amp;" — "&amp;VLOOKUP(B412,'FLOTA TERCEROS'!$A:$D,3,0),"⚠ No encontrado")))</f>
        <v>RANGER — FORD</v>
      </c>
      <c r="D412" s="38">
        <v>70</v>
      </c>
      <c r="E412" s="39">
        <v>37135</v>
      </c>
      <c r="F412" s="28" t="s">
        <v>113</v>
      </c>
      <c r="G412" s="40" t="s">
        <v>133</v>
      </c>
    </row>
    <row r="413" spans="1:7" ht="18" customHeight="1">
      <c r="A413" s="36">
        <v>45887</v>
      </c>
      <c r="B413" s="37" t="s">
        <v>53</v>
      </c>
      <c r="C413" s="25" t="str">
        <f>IF(B413="","",IFERROR(VLOOKUP(B413,FLOTA!$A:$D,4,0)&amp;" — "&amp;VLOOKUP(B413,FLOTA!$A:$D,3,0),IFERROR(VLOOKUP(B413,'FLOTA TERCEROS'!$A:$D,4,0)&amp;" — "&amp;VLOOKUP(B413,'FLOTA TERCEROS'!$A:$D,3,0),"⚠ No encontrado")))</f>
        <v>AMAROK DC 2.0L TDI 180CV 4X4 — VOLKSWAGEN</v>
      </c>
      <c r="D413" s="38">
        <v>70</v>
      </c>
      <c r="E413" s="39">
        <v>277965</v>
      </c>
      <c r="F413" s="28" t="s">
        <v>121</v>
      </c>
      <c r="G413" s="40" t="s">
        <v>134</v>
      </c>
    </row>
    <row r="414" spans="1:7" ht="18" customHeight="1">
      <c r="A414" s="36">
        <v>45888</v>
      </c>
      <c r="B414" s="37" t="s">
        <v>81</v>
      </c>
      <c r="C414" s="25" t="str">
        <f>IF(B414="","",IFERROR(VLOOKUP(B414,FLOTA!$A:$D,4,0)&amp;" — "&amp;VLOOKUP(B414,FLOTA!$A:$D,3,0),IFERROR(VLOOKUP(B414,'FLOTA TERCEROS'!$A:$D,4,0)&amp;" — "&amp;VLOOKUP(B414,'FLOTA TERCEROS'!$A:$D,3,0),"⚠ No encontrado")))</f>
        <v>RANGER — FORD</v>
      </c>
      <c r="D414" s="38">
        <v>70</v>
      </c>
      <c r="E414" s="39">
        <v>58371</v>
      </c>
      <c r="F414" s="28" t="s">
        <v>111</v>
      </c>
      <c r="G414" s="40" t="s">
        <v>133</v>
      </c>
    </row>
    <row r="415" spans="1:7" ht="18" customHeight="1">
      <c r="A415" s="36">
        <v>45889</v>
      </c>
      <c r="B415" s="37" t="s">
        <v>43</v>
      </c>
      <c r="C415" s="25" t="str">
        <f>IF(B415="","",IFERROR(VLOOKUP(B415,FLOTA!$A:$D,4,0)&amp;" — "&amp;VLOOKUP(B415,FLOTA!$A:$D,3,0),IFERROR(VLOOKUP(B415,'FLOTA TERCEROS'!$A:$D,4,0)&amp;" — "&amp;VLOOKUP(B415,'FLOTA TERCEROS'!$A:$D,3,0),"⚠ No encontrado")))</f>
        <v>AMAROK CS 2.0 140CV — VOLKSWAGEN</v>
      </c>
      <c r="D415" s="38">
        <v>65</v>
      </c>
      <c r="E415" s="39">
        <v>156498</v>
      </c>
      <c r="F415" s="28"/>
      <c r="G415" s="40"/>
    </row>
    <row r="416" spans="1:7" ht="18" customHeight="1">
      <c r="A416" s="36">
        <v>45889</v>
      </c>
      <c r="B416" s="37" t="s">
        <v>86</v>
      </c>
      <c r="C416" s="25" t="str">
        <f>IF(B416="","",IFERROR(VLOOKUP(B416,FLOTA!$A:$D,4,0)&amp;" — "&amp;VLOOKUP(B416,FLOTA!$A:$D,3,0),IFERROR(VLOOKUP(B416,'FLOTA TERCEROS'!$A:$D,4,0)&amp;" — "&amp;VLOOKUP(B416,'FLOTA TERCEROS'!$A:$D,3,0),"⚠ No encontrado")))</f>
        <v>RANGER — FORD</v>
      </c>
      <c r="D416" s="38">
        <v>75</v>
      </c>
      <c r="E416" s="39">
        <v>66560</v>
      </c>
      <c r="F416" s="28" t="s">
        <v>116</v>
      </c>
      <c r="G416" s="40" t="s">
        <v>139</v>
      </c>
    </row>
    <row r="417" spans="1:7" ht="18" customHeight="1">
      <c r="A417" s="36">
        <v>45889</v>
      </c>
      <c r="B417" s="37" t="s">
        <v>58</v>
      </c>
      <c r="C417" s="25" t="str">
        <f>IF(B417="","",IFERROR(VLOOKUP(B417,FLOTA!$A:$D,4,0)&amp;" — "&amp;VLOOKUP(B417,FLOTA!$A:$D,3,0),IFERROR(VLOOKUP(B417,'FLOTA TERCEROS'!$A:$D,4,0)&amp;" — "&amp;VLOOKUP(B417,'FLOTA TERCEROS'!$A:$D,3,0),"⚠ No encontrado")))</f>
        <v>SPRINTER 515 CDIC — MERCEDES BENZ</v>
      </c>
      <c r="D417" s="38">
        <v>70</v>
      </c>
      <c r="E417" s="39">
        <v>209778</v>
      </c>
      <c r="F417" s="28" t="s">
        <v>119</v>
      </c>
      <c r="G417" s="40" t="s">
        <v>133</v>
      </c>
    </row>
    <row r="418" spans="1:7" ht="18" customHeight="1">
      <c r="A418" s="36">
        <v>45890</v>
      </c>
      <c r="B418" s="37" t="s">
        <v>36</v>
      </c>
      <c r="C418" s="25" t="str">
        <f>IF(B418="","",IFERROR(VLOOKUP(B418,FLOTA!$A:$D,4,0)&amp;" — "&amp;VLOOKUP(B418,FLOTA!$A:$D,3,0),IFERROR(VLOOKUP(B418,'FLOTA TERCEROS'!$A:$D,4,0)&amp;" — "&amp;VLOOKUP(B418,'FLOTA TERCEROS'!$A:$D,3,0),"⚠ No encontrado")))</f>
        <v>HILUX 4X2 CD SRV 3.0 — TOYOTA</v>
      </c>
      <c r="D418" s="38">
        <v>80</v>
      </c>
      <c r="E418" s="39">
        <v>302357</v>
      </c>
      <c r="F418" s="28" t="s">
        <v>112</v>
      </c>
      <c r="G418" s="40" t="s">
        <v>133</v>
      </c>
    </row>
    <row r="419" spans="1:7" ht="18" customHeight="1">
      <c r="A419" s="36">
        <v>45890</v>
      </c>
      <c r="B419" s="37" t="s">
        <v>24</v>
      </c>
      <c r="C419" s="25" t="str">
        <f>IF(B419="","",IFERROR(VLOOKUP(B419,FLOTA!$A:$D,4,0)&amp;" — "&amp;VLOOKUP(B419,FLOTA!$A:$D,3,0),IFERROR(VLOOKUP(B419,'FLOTA TERCEROS'!$A:$D,4,0)&amp;" — "&amp;VLOOKUP(B419,'FLOTA TERCEROS'!$A:$D,3,0),"⚠ No encontrado")))</f>
        <v>RANGER 2 CD 4X4 XLS 3.2L — FORD</v>
      </c>
      <c r="D419" s="38">
        <v>80</v>
      </c>
      <c r="E419" s="39">
        <v>244142</v>
      </c>
      <c r="F419" s="28" t="s">
        <v>108</v>
      </c>
      <c r="G419" s="40" t="s">
        <v>140</v>
      </c>
    </row>
    <row r="420" spans="1:7" ht="18" customHeight="1">
      <c r="A420" s="36">
        <v>45890</v>
      </c>
      <c r="B420" s="37" t="s">
        <v>90</v>
      </c>
      <c r="C420" s="25" t="str">
        <f>IF(B420="","",IFERROR(VLOOKUP(B420,FLOTA!$A:$D,4,0)&amp;" — "&amp;VLOOKUP(B420,FLOTA!$A:$D,3,0),IFERROR(VLOOKUP(B420,'FLOTA TERCEROS'!$A:$D,4,0)&amp;" — "&amp;VLOOKUP(B420,'FLOTA TERCEROS'!$A:$D,3,0),"⚠ No encontrado")))</f>
        <v>RANGER — FORD</v>
      </c>
      <c r="D420" s="38">
        <v>70</v>
      </c>
      <c r="E420" s="39">
        <v>37902</v>
      </c>
      <c r="F420" s="28" t="s">
        <v>113</v>
      </c>
      <c r="G420" s="40" t="s">
        <v>133</v>
      </c>
    </row>
    <row r="421" spans="1:7" ht="18" customHeight="1">
      <c r="A421" s="36">
        <v>45890</v>
      </c>
      <c r="B421" s="37" t="s">
        <v>32</v>
      </c>
      <c r="C421" s="25" t="str">
        <f>IF(B421="","",IFERROR(VLOOKUP(B421,FLOTA!$A:$D,4,0)&amp;" — "&amp;VLOOKUP(B421,FLOTA!$A:$D,3,0),IFERROR(VLOOKUP(B421,'FLOTA TERCEROS'!$A:$D,4,0)&amp;" — "&amp;VLOOKUP(B421,'FLOTA TERCEROS'!$A:$D,3,0),"⚠ No encontrado")))</f>
        <v>PRADO LAND CRUISER — TOYOTA</v>
      </c>
      <c r="D421" s="38">
        <v>40</v>
      </c>
      <c r="E421" s="39">
        <v>439361</v>
      </c>
      <c r="F421" s="28" t="s">
        <v>119</v>
      </c>
      <c r="G421" s="40" t="s">
        <v>133</v>
      </c>
    </row>
    <row r="422" spans="1:7" ht="18" customHeight="1">
      <c r="A422" s="36">
        <v>45891</v>
      </c>
      <c r="B422" s="37" t="s">
        <v>81</v>
      </c>
      <c r="C422" s="25" t="str">
        <f>IF(B422="","",IFERROR(VLOOKUP(B422,FLOTA!$A:$D,4,0)&amp;" — "&amp;VLOOKUP(B422,FLOTA!$A:$D,3,0),IFERROR(VLOOKUP(B422,'FLOTA TERCEROS'!$A:$D,4,0)&amp;" — "&amp;VLOOKUP(B422,'FLOTA TERCEROS'!$A:$D,3,0),"⚠ No encontrado")))</f>
        <v>RANGER — FORD</v>
      </c>
      <c r="D422" s="38">
        <v>55</v>
      </c>
      <c r="E422" s="39">
        <v>58939</v>
      </c>
      <c r="F422" s="28" t="s">
        <v>111</v>
      </c>
      <c r="G422" s="40" t="s">
        <v>133</v>
      </c>
    </row>
    <row r="423" spans="1:7" ht="18" customHeight="1">
      <c r="A423" s="36">
        <v>45891</v>
      </c>
      <c r="B423" s="37" t="s">
        <v>53</v>
      </c>
      <c r="C423" s="25" t="str">
        <f>IF(B423="","",IFERROR(VLOOKUP(B423,FLOTA!$A:$D,4,0)&amp;" — "&amp;VLOOKUP(B423,FLOTA!$A:$D,3,0),IFERROR(VLOOKUP(B423,'FLOTA TERCEROS'!$A:$D,4,0)&amp;" — "&amp;VLOOKUP(B423,'FLOTA TERCEROS'!$A:$D,3,0),"⚠ No encontrado")))</f>
        <v>AMAROK DC 2.0L TDI 180CV 4X4 — VOLKSWAGEN</v>
      </c>
      <c r="D423" s="38">
        <v>70</v>
      </c>
      <c r="E423" s="39">
        <v>278538</v>
      </c>
      <c r="F423" s="28" t="s">
        <v>121</v>
      </c>
      <c r="G423" s="40" t="s">
        <v>134</v>
      </c>
    </row>
    <row r="424" spans="1:7" ht="18" customHeight="1">
      <c r="A424" s="36">
        <v>45894</v>
      </c>
      <c r="B424" s="37" t="s">
        <v>58</v>
      </c>
      <c r="C424" s="25" t="str">
        <f>IF(B424="","",IFERROR(VLOOKUP(B424,FLOTA!$A:$D,4,0)&amp;" — "&amp;VLOOKUP(B424,FLOTA!$A:$D,3,0),IFERROR(VLOOKUP(B424,'FLOTA TERCEROS'!$A:$D,4,0)&amp;" — "&amp;VLOOKUP(B424,'FLOTA TERCEROS'!$A:$D,3,0),"⚠ No encontrado")))</f>
        <v>SPRINTER 515 CDIC — MERCEDES BENZ</v>
      </c>
      <c r="D424" s="38">
        <v>45</v>
      </c>
      <c r="E424" s="39">
        <v>210046</v>
      </c>
      <c r="F424" s="28" t="s">
        <v>111</v>
      </c>
      <c r="G424" s="40" t="s">
        <v>133</v>
      </c>
    </row>
    <row r="425" spans="1:7" ht="18" customHeight="1">
      <c r="A425" s="36">
        <v>45894</v>
      </c>
      <c r="B425" s="37" t="s">
        <v>66</v>
      </c>
      <c r="C425" s="25" t="str">
        <f>IF(B425="","",IFERROR(VLOOKUP(B425,FLOTA!$A:$D,4,0)&amp;" — "&amp;VLOOKUP(B425,FLOTA!$A:$D,3,0),IFERROR(VLOOKUP(B425,'FLOTA TERCEROS'!$A:$D,4,0)&amp;" — "&amp;VLOOKUP(B425,'FLOTA TERCEROS'!$A:$D,3,0),"⚠ No encontrado")))</f>
        <v>SPRINTER 515 CDIC — MERCEDES BENZ</v>
      </c>
      <c r="D425" s="38">
        <v>70</v>
      </c>
      <c r="E425" s="39">
        <v>133838</v>
      </c>
      <c r="F425" s="28" t="s">
        <v>113</v>
      </c>
      <c r="G425" s="40" t="s">
        <v>133</v>
      </c>
    </row>
    <row r="426" spans="1:7" ht="18" customHeight="1">
      <c r="A426" s="36">
        <v>45895</v>
      </c>
      <c r="B426" s="37" t="s">
        <v>36</v>
      </c>
      <c r="C426" s="25" t="str">
        <f>IF(B426="","",IFERROR(VLOOKUP(B426,FLOTA!$A:$D,4,0)&amp;" — "&amp;VLOOKUP(B426,FLOTA!$A:$D,3,0),IFERROR(VLOOKUP(B426,'FLOTA TERCEROS'!$A:$D,4,0)&amp;" — "&amp;VLOOKUP(B426,'FLOTA TERCEROS'!$A:$D,3,0),"⚠ No encontrado")))</f>
        <v>HILUX 4X2 CD SRV 3.0 — TOYOTA</v>
      </c>
      <c r="D426" s="38">
        <v>75</v>
      </c>
      <c r="E426" s="39">
        <v>302964</v>
      </c>
      <c r="F426" s="28" t="s">
        <v>112</v>
      </c>
      <c r="G426" s="40" t="s">
        <v>133</v>
      </c>
    </row>
    <row r="427" spans="1:7" ht="18" customHeight="1">
      <c r="A427" s="36">
        <v>45895</v>
      </c>
      <c r="B427" s="37" t="s">
        <v>81</v>
      </c>
      <c r="C427" s="25" t="str">
        <f>IF(B427="","",IFERROR(VLOOKUP(B427,FLOTA!$A:$D,4,0)&amp;" — "&amp;VLOOKUP(B427,FLOTA!$A:$D,3,0),IFERROR(VLOOKUP(B427,'FLOTA TERCEROS'!$A:$D,4,0)&amp;" — "&amp;VLOOKUP(B427,'FLOTA TERCEROS'!$A:$D,3,0),"⚠ No encontrado")))</f>
        <v>RANGER — FORD</v>
      </c>
      <c r="D427" s="38">
        <v>70</v>
      </c>
      <c r="E427" s="39">
        <v>59600</v>
      </c>
      <c r="F427" s="28" t="s">
        <v>114</v>
      </c>
      <c r="G427" s="40" t="s">
        <v>138</v>
      </c>
    </row>
    <row r="428" spans="1:7" ht="18" customHeight="1">
      <c r="A428" s="36">
        <v>45897</v>
      </c>
      <c r="B428" s="37" t="s">
        <v>86</v>
      </c>
      <c r="C428" s="25" t="str">
        <f>IF(B428="","",IFERROR(VLOOKUP(B428,FLOTA!$A:$D,4,0)&amp;" — "&amp;VLOOKUP(B428,FLOTA!$A:$D,3,0),IFERROR(VLOOKUP(B428,'FLOTA TERCEROS'!$A:$D,4,0)&amp;" — "&amp;VLOOKUP(B428,'FLOTA TERCEROS'!$A:$D,3,0),"⚠ No encontrado")))</f>
        <v>RANGER — FORD</v>
      </c>
      <c r="D428" s="38">
        <v>60</v>
      </c>
      <c r="E428" s="39">
        <v>67221</v>
      </c>
      <c r="F428" s="28" t="s">
        <v>116</v>
      </c>
      <c r="G428" s="40" t="s">
        <v>139</v>
      </c>
    </row>
    <row r="429" spans="1:7" ht="18" customHeight="1">
      <c r="A429" s="36">
        <v>45897</v>
      </c>
      <c r="B429" s="37" t="s">
        <v>58</v>
      </c>
      <c r="C429" s="25" t="str">
        <f>IF(B429="","",IFERROR(VLOOKUP(B429,FLOTA!$A:$D,4,0)&amp;" — "&amp;VLOOKUP(B429,FLOTA!$A:$D,3,0),IFERROR(VLOOKUP(B429,'FLOTA TERCEROS'!$A:$D,4,0)&amp;" — "&amp;VLOOKUP(B429,'FLOTA TERCEROS'!$A:$D,3,0),"⚠ No encontrado")))</f>
        <v>SPRINTER 515 CDIC — MERCEDES BENZ</v>
      </c>
      <c r="D429" s="38">
        <v>55</v>
      </c>
      <c r="E429" s="39">
        <v>210423</v>
      </c>
      <c r="F429" s="28" t="s">
        <v>111</v>
      </c>
      <c r="G429" s="40" t="s">
        <v>133</v>
      </c>
    </row>
    <row r="430" spans="1:7" ht="18" customHeight="1">
      <c r="A430" s="36">
        <v>45897</v>
      </c>
      <c r="B430" s="37" t="s">
        <v>43</v>
      </c>
      <c r="C430" s="25" t="str">
        <f>IF(B430="","",IFERROR(VLOOKUP(B430,FLOTA!$A:$D,4,0)&amp;" — "&amp;VLOOKUP(B430,FLOTA!$A:$D,3,0),IFERROR(VLOOKUP(B430,'FLOTA TERCEROS'!$A:$D,4,0)&amp;" — "&amp;VLOOKUP(B430,'FLOTA TERCEROS'!$A:$D,3,0),"⚠ No encontrado")))</f>
        <v>AMAROK CS 2.0 140CV — VOLKSWAGEN</v>
      </c>
      <c r="D430" s="38">
        <v>80</v>
      </c>
      <c r="E430" s="39">
        <v>157224</v>
      </c>
      <c r="F430" s="28" t="s">
        <v>118</v>
      </c>
      <c r="G430" s="40" t="s">
        <v>128</v>
      </c>
    </row>
    <row r="431" spans="1:7" ht="18" customHeight="1">
      <c r="A431" s="36">
        <v>45898</v>
      </c>
      <c r="B431" s="37" t="s">
        <v>32</v>
      </c>
      <c r="C431" s="25" t="str">
        <f>IF(B431="","",IFERROR(VLOOKUP(B431,FLOTA!$A:$D,4,0)&amp;" — "&amp;VLOOKUP(B431,FLOTA!$A:$D,3,0),IFERROR(VLOOKUP(B431,'FLOTA TERCEROS'!$A:$D,4,0)&amp;" — "&amp;VLOOKUP(B431,'FLOTA TERCEROS'!$A:$D,3,0),"⚠ No encontrado")))</f>
        <v>PRADO LAND CRUISER — TOYOTA</v>
      </c>
      <c r="D431" s="38">
        <v>55</v>
      </c>
      <c r="E431" s="39">
        <v>439743</v>
      </c>
      <c r="F431" s="28" t="s">
        <v>119</v>
      </c>
      <c r="G431" s="40" t="s">
        <v>133</v>
      </c>
    </row>
    <row r="432" spans="1:7" ht="18" customHeight="1">
      <c r="A432" s="36">
        <v>45898</v>
      </c>
      <c r="B432" s="37" t="s">
        <v>24</v>
      </c>
      <c r="C432" s="25" t="str">
        <f>IF(B432="","",IFERROR(VLOOKUP(B432,FLOTA!$A:$D,4,0)&amp;" — "&amp;VLOOKUP(B432,FLOTA!$A:$D,3,0),IFERROR(VLOOKUP(B432,'FLOTA TERCEROS'!$A:$D,4,0)&amp;" — "&amp;VLOOKUP(B432,'FLOTA TERCEROS'!$A:$D,3,0),"⚠ No encontrado")))</f>
        <v>RANGER 2 CD 4X4 XLS 3.2L — FORD</v>
      </c>
      <c r="D432" s="38">
        <v>75</v>
      </c>
      <c r="E432" s="39">
        <v>244895</v>
      </c>
      <c r="F432" s="28" t="s">
        <v>108</v>
      </c>
      <c r="G432" s="40" t="s">
        <v>140</v>
      </c>
    </row>
    <row r="433" spans="1:7" ht="18" customHeight="1">
      <c r="A433" s="36">
        <v>45898</v>
      </c>
      <c r="B433" s="37" t="s">
        <v>81</v>
      </c>
      <c r="C433" s="25" t="str">
        <f>IF(B433="","",IFERROR(VLOOKUP(B433,FLOTA!$A:$D,4,0)&amp;" — "&amp;VLOOKUP(B433,FLOTA!$A:$D,3,0),IFERROR(VLOOKUP(B433,'FLOTA TERCEROS'!$A:$D,4,0)&amp;" — "&amp;VLOOKUP(B433,'FLOTA TERCEROS'!$A:$D,3,0),"⚠ No encontrado")))</f>
        <v>RANGER — FORD</v>
      </c>
      <c r="D433" s="38">
        <v>75</v>
      </c>
      <c r="E433" s="39">
        <v>60332</v>
      </c>
      <c r="F433" s="28" t="s">
        <v>114</v>
      </c>
      <c r="G433" s="40" t="s">
        <v>138</v>
      </c>
    </row>
    <row r="434" spans="1:7" ht="18" customHeight="1">
      <c r="A434" s="36">
        <v>45901</v>
      </c>
      <c r="B434" s="37" t="s">
        <v>66</v>
      </c>
      <c r="C434" s="25" t="str">
        <f>IF(B434="","",IFERROR(VLOOKUP(B434,FLOTA!$A:$D,4,0)&amp;" — "&amp;VLOOKUP(B434,FLOTA!$A:$D,3,0),IFERROR(VLOOKUP(B434,'FLOTA TERCEROS'!$A:$D,4,0)&amp;" — "&amp;VLOOKUP(B434,'FLOTA TERCEROS'!$A:$D,3,0),"⚠ No encontrado")))</f>
        <v>SPRINTER 515 CDIC — MERCEDES BENZ</v>
      </c>
      <c r="D434" s="38">
        <v>60</v>
      </c>
      <c r="E434" s="39">
        <v>134348</v>
      </c>
      <c r="F434" s="28" t="s">
        <v>113</v>
      </c>
      <c r="G434" s="40" t="s">
        <v>133</v>
      </c>
    </row>
    <row r="435" spans="1:7" ht="18" customHeight="1">
      <c r="A435" s="36">
        <v>45901</v>
      </c>
      <c r="B435" s="37" t="s">
        <v>53</v>
      </c>
      <c r="C435" s="25" t="str">
        <f>IF(B435="","",IFERROR(VLOOKUP(B435,FLOTA!$A:$D,4,0)&amp;" — "&amp;VLOOKUP(B435,FLOTA!$A:$D,3,0),IFERROR(VLOOKUP(B435,'FLOTA TERCEROS'!$A:$D,4,0)&amp;" — "&amp;VLOOKUP(B435,'FLOTA TERCEROS'!$A:$D,3,0),"⚠ No encontrado")))</f>
        <v>AMAROK DC 2.0L TDI 180CV 4X4 — VOLKSWAGEN</v>
      </c>
      <c r="D435" s="38">
        <v>80</v>
      </c>
      <c r="E435" s="39">
        <v>279238</v>
      </c>
      <c r="F435" s="28" t="s">
        <v>121</v>
      </c>
      <c r="G435" s="40" t="s">
        <v>134</v>
      </c>
    </row>
    <row r="436" spans="1:7" ht="18" customHeight="1">
      <c r="A436" s="36">
        <v>45901</v>
      </c>
      <c r="B436" s="37" t="s">
        <v>36</v>
      </c>
      <c r="C436" s="25" t="str">
        <f>IF(B436="","",IFERROR(VLOOKUP(B436,FLOTA!$A:$D,4,0)&amp;" — "&amp;VLOOKUP(B436,FLOTA!$A:$D,3,0),IFERROR(VLOOKUP(B436,'FLOTA TERCEROS'!$A:$D,4,0)&amp;" — "&amp;VLOOKUP(B436,'FLOTA TERCEROS'!$A:$D,3,0),"⚠ No encontrado")))</f>
        <v>HILUX 4X2 CD SRV 3.0 — TOYOTA</v>
      </c>
      <c r="D436" s="38">
        <v>70</v>
      </c>
      <c r="E436" s="39">
        <v>303623</v>
      </c>
      <c r="F436" s="28" t="s">
        <v>112</v>
      </c>
      <c r="G436" s="40" t="s">
        <v>133</v>
      </c>
    </row>
    <row r="437" spans="1:7" ht="18" customHeight="1">
      <c r="A437" s="36">
        <v>45902</v>
      </c>
      <c r="B437" s="37" t="s">
        <v>43</v>
      </c>
      <c r="C437" s="25" t="str">
        <f>IF(B437="","",IFERROR(VLOOKUP(B437,FLOTA!$A:$D,4,0)&amp;" — "&amp;VLOOKUP(B437,FLOTA!$A:$D,3,0),IFERROR(VLOOKUP(B437,'FLOTA TERCEROS'!$A:$D,4,0)&amp;" — "&amp;VLOOKUP(B437,'FLOTA TERCEROS'!$A:$D,3,0),"⚠ No encontrado")))</f>
        <v>AMAROK CS 2.0 140CV — VOLKSWAGEN</v>
      </c>
      <c r="D437" s="38">
        <v>75</v>
      </c>
      <c r="E437" s="39">
        <v>157925</v>
      </c>
      <c r="F437" s="28" t="s">
        <v>118</v>
      </c>
      <c r="G437" s="40" t="s">
        <v>128</v>
      </c>
    </row>
    <row r="438" spans="1:7" ht="18" customHeight="1">
      <c r="A438" s="36">
        <v>45903</v>
      </c>
      <c r="B438" s="37" t="s">
        <v>58</v>
      </c>
      <c r="C438" s="25" t="str">
        <f>IF(B438="","",IFERROR(VLOOKUP(B438,FLOTA!$A:$D,4,0)&amp;" — "&amp;VLOOKUP(B438,FLOTA!$A:$D,3,0),IFERROR(VLOOKUP(B438,'FLOTA TERCEROS'!$A:$D,4,0)&amp;" — "&amp;VLOOKUP(B438,'FLOTA TERCEROS'!$A:$D,3,0),"⚠ No encontrado")))</f>
        <v>SPRINTER 515 CDIC — MERCEDES BENZ</v>
      </c>
      <c r="D438" s="38">
        <v>60</v>
      </c>
      <c r="E438" s="39">
        <v>210836</v>
      </c>
      <c r="F438" s="28" t="s">
        <v>111</v>
      </c>
      <c r="G438" s="40" t="s">
        <v>133</v>
      </c>
    </row>
    <row r="439" spans="1:7" ht="18" customHeight="1">
      <c r="A439" s="36">
        <v>45903</v>
      </c>
      <c r="B439" s="37" t="s">
        <v>86</v>
      </c>
      <c r="C439" s="25" t="str">
        <f>IF(B439="","",IFERROR(VLOOKUP(B439,FLOTA!$A:$D,4,0)&amp;" — "&amp;VLOOKUP(B439,FLOTA!$A:$D,3,0),IFERROR(VLOOKUP(B439,'FLOTA TERCEROS'!$A:$D,4,0)&amp;" — "&amp;VLOOKUP(B439,'FLOTA TERCEROS'!$A:$D,3,0),"⚠ No encontrado")))</f>
        <v>RANGER — FORD</v>
      </c>
      <c r="D439" s="38">
        <v>75</v>
      </c>
      <c r="E439" s="39">
        <v>67807</v>
      </c>
      <c r="F439" s="28" t="s">
        <v>116</v>
      </c>
      <c r="G439" s="40" t="s">
        <v>139</v>
      </c>
    </row>
    <row r="440" spans="1:7" ht="18" customHeight="1">
      <c r="A440" s="36">
        <v>45903</v>
      </c>
      <c r="B440" s="37" t="s">
        <v>32</v>
      </c>
      <c r="C440" s="25" t="str">
        <f>IF(B440="","",IFERROR(VLOOKUP(B440,FLOTA!$A:$D,4,0)&amp;" — "&amp;VLOOKUP(B440,FLOTA!$A:$D,3,0),IFERROR(VLOOKUP(B440,'FLOTA TERCEROS'!$A:$D,4,0)&amp;" — "&amp;VLOOKUP(B440,'FLOTA TERCEROS'!$A:$D,3,0),"⚠ No encontrado")))</f>
        <v>PRADO LAND CRUISER — TOYOTA</v>
      </c>
      <c r="D440" s="38">
        <v>55</v>
      </c>
      <c r="E440" s="39">
        <v>440143</v>
      </c>
      <c r="F440" s="28" t="s">
        <v>119</v>
      </c>
      <c r="G440" s="40" t="s">
        <v>133</v>
      </c>
    </row>
    <row r="441" spans="1:7" ht="18" customHeight="1">
      <c r="A441" s="36">
        <v>45905</v>
      </c>
      <c r="B441" s="37" t="s">
        <v>36</v>
      </c>
      <c r="C441" s="25" t="str">
        <f>IF(B441="","",IFERROR(VLOOKUP(B441,FLOTA!$A:$D,4,0)&amp;" — "&amp;VLOOKUP(B441,FLOTA!$A:$D,3,0),IFERROR(VLOOKUP(B441,'FLOTA TERCEROS'!$A:$D,4,0)&amp;" — "&amp;VLOOKUP(B441,'FLOTA TERCEROS'!$A:$D,3,0),"⚠ No encontrado")))</f>
        <v>HILUX 4X2 CD SRV 3.0 — TOYOTA</v>
      </c>
      <c r="D441" s="38">
        <v>65</v>
      </c>
      <c r="E441" s="39">
        <v>304229</v>
      </c>
      <c r="F441" s="28" t="s">
        <v>112</v>
      </c>
      <c r="G441" s="40" t="s">
        <v>133</v>
      </c>
    </row>
    <row r="442" spans="1:7" ht="18" customHeight="1">
      <c r="A442" s="36">
        <v>45905</v>
      </c>
      <c r="B442" s="37" t="s">
        <v>70</v>
      </c>
      <c r="C442" s="25" t="str">
        <f>IF(B442="","",IFERROR(VLOOKUP(B442,FLOTA!$A:$D,4,0)&amp;" — "&amp;VLOOKUP(B442,FLOTA!$A:$D,3,0),IFERROR(VLOOKUP(B442,'FLOTA TERCEROS'!$A:$D,4,0)&amp;" — "&amp;VLOOKUP(B442,'FLOTA TERCEROS'!$A:$D,3,0),"⚠ No encontrado")))</f>
        <v>TORO — FIAT</v>
      </c>
      <c r="D442" s="38">
        <v>60</v>
      </c>
      <c r="E442" s="39">
        <v>168775</v>
      </c>
      <c r="F442" s="28" t="s">
        <v>112</v>
      </c>
      <c r="G442" s="40" t="s">
        <v>133</v>
      </c>
    </row>
    <row r="443" spans="1:7" ht="18" customHeight="1">
      <c r="A443" s="36">
        <v>45905</v>
      </c>
      <c r="B443" s="37" t="s">
        <v>53</v>
      </c>
      <c r="C443" s="25" t="str">
        <f>IF(B443="","",IFERROR(VLOOKUP(B443,FLOTA!$A:$D,4,0)&amp;" — "&amp;VLOOKUP(B443,FLOTA!$A:$D,3,0),IFERROR(VLOOKUP(B443,'FLOTA TERCEROS'!$A:$D,4,0)&amp;" — "&amp;VLOOKUP(B443,'FLOTA TERCEROS'!$A:$D,3,0),"⚠ No encontrado")))</f>
        <v>AMAROK DC 2.0L TDI 180CV 4X4 — VOLKSWAGEN</v>
      </c>
      <c r="D443" s="38">
        <v>70</v>
      </c>
      <c r="E443" s="39">
        <v>279925</v>
      </c>
      <c r="F443" s="28" t="s">
        <v>121</v>
      </c>
      <c r="G443" s="40" t="s">
        <v>134</v>
      </c>
    </row>
    <row r="444" spans="1:7" ht="18" customHeight="1">
      <c r="A444" s="36">
        <v>45905</v>
      </c>
      <c r="B444" s="37" t="s">
        <v>66</v>
      </c>
      <c r="C444" s="25" t="str">
        <f>IF(B444="","",IFERROR(VLOOKUP(B444,FLOTA!$A:$D,4,0)&amp;" — "&amp;VLOOKUP(B444,FLOTA!$A:$D,3,0),IFERROR(VLOOKUP(B444,'FLOTA TERCEROS'!$A:$D,4,0)&amp;" — "&amp;VLOOKUP(B444,'FLOTA TERCEROS'!$A:$D,3,0),"⚠ No encontrado")))</f>
        <v>SPRINTER 515 CDIC — MERCEDES BENZ</v>
      </c>
      <c r="D444" s="38">
        <v>40</v>
      </c>
      <c r="E444" s="39">
        <v>134810</v>
      </c>
      <c r="F444" s="28" t="s">
        <v>113</v>
      </c>
      <c r="G444" s="40" t="s">
        <v>133</v>
      </c>
    </row>
    <row r="445" spans="1:7" ht="18" customHeight="1">
      <c r="A445" s="36">
        <v>45908</v>
      </c>
      <c r="B445" s="37" t="s">
        <v>36</v>
      </c>
      <c r="C445" s="25" t="str">
        <f>IF(B445="","",IFERROR(VLOOKUP(B445,FLOTA!$A:$D,4,0)&amp;" — "&amp;VLOOKUP(B445,FLOTA!$A:$D,3,0),IFERROR(VLOOKUP(B445,'FLOTA TERCEROS'!$A:$D,4,0)&amp;" — "&amp;VLOOKUP(B445,'FLOTA TERCEROS'!$A:$D,3,0),"⚠ No encontrado")))</f>
        <v>HILUX 4X2 CD SRV 3.0 — TOYOTA</v>
      </c>
      <c r="D445" s="38">
        <v>60</v>
      </c>
      <c r="E445" s="39">
        <v>304764</v>
      </c>
      <c r="F445" s="28" t="s">
        <v>112</v>
      </c>
      <c r="G445" s="40" t="s">
        <v>133</v>
      </c>
    </row>
    <row r="446" spans="1:7" ht="18" customHeight="1">
      <c r="A446" s="36">
        <v>45908</v>
      </c>
      <c r="B446" s="37" t="s">
        <v>24</v>
      </c>
      <c r="C446" s="25" t="str">
        <f>IF(B446="","",IFERROR(VLOOKUP(B446,FLOTA!$A:$D,4,0)&amp;" — "&amp;VLOOKUP(B446,FLOTA!$A:$D,3,0),IFERROR(VLOOKUP(B446,'FLOTA TERCEROS'!$A:$D,4,0)&amp;" — "&amp;VLOOKUP(B446,'FLOTA TERCEROS'!$A:$D,3,0),"⚠ No encontrado")))</f>
        <v>RANGER 2 CD 4X4 XLS 3.2L — FORD</v>
      </c>
      <c r="D446" s="38">
        <v>70</v>
      </c>
      <c r="E446" s="39">
        <v>245882</v>
      </c>
      <c r="F446" s="28" t="s">
        <v>108</v>
      </c>
      <c r="G446" s="40" t="s">
        <v>140</v>
      </c>
    </row>
    <row r="447" spans="1:7" ht="18" customHeight="1">
      <c r="A447" s="36">
        <v>45908</v>
      </c>
      <c r="B447" s="37" t="s">
        <v>58</v>
      </c>
      <c r="C447" s="25" t="str">
        <f>IF(B447="","",IFERROR(VLOOKUP(B447,FLOTA!$A:$D,4,0)&amp;" — "&amp;VLOOKUP(B447,FLOTA!$A:$D,3,0),IFERROR(VLOOKUP(B447,'FLOTA TERCEROS'!$A:$D,4,0)&amp;" — "&amp;VLOOKUP(B447,'FLOTA TERCEROS'!$A:$D,3,0),"⚠ No encontrado")))</f>
        <v>SPRINTER 515 CDIC — MERCEDES BENZ</v>
      </c>
      <c r="D447" s="38">
        <v>60</v>
      </c>
      <c r="E447" s="39">
        <v>211237</v>
      </c>
      <c r="F447" s="28" t="s">
        <v>111</v>
      </c>
      <c r="G447" s="40" t="s">
        <v>133</v>
      </c>
    </row>
    <row r="448" spans="1:7" ht="18" customHeight="1">
      <c r="A448" s="36">
        <v>45909</v>
      </c>
      <c r="B448" s="37" t="s">
        <v>81</v>
      </c>
      <c r="C448" s="25" t="str">
        <f>IF(B448="","",IFERROR(VLOOKUP(B448,FLOTA!$A:$D,4,0)&amp;" — "&amp;VLOOKUP(B448,FLOTA!$A:$D,3,0),IFERROR(VLOOKUP(B448,'FLOTA TERCEROS'!$A:$D,4,0)&amp;" — "&amp;VLOOKUP(B448,'FLOTA TERCEROS'!$A:$D,3,0),"⚠ No encontrado")))</f>
        <v>RANGER — FORD</v>
      </c>
      <c r="D448" s="38">
        <v>60</v>
      </c>
      <c r="E448" s="39">
        <v>60879</v>
      </c>
      <c r="F448" s="28" t="s">
        <v>114</v>
      </c>
      <c r="G448" s="40" t="s">
        <v>138</v>
      </c>
    </row>
    <row r="449" spans="1:7" ht="18" customHeight="1">
      <c r="A449" s="36">
        <v>45910</v>
      </c>
      <c r="B449" s="37" t="s">
        <v>32</v>
      </c>
      <c r="C449" s="25" t="str">
        <f>IF(B449="","",IFERROR(VLOOKUP(B449,FLOTA!$A:$D,4,0)&amp;" — "&amp;VLOOKUP(B449,FLOTA!$A:$D,3,0),IFERROR(VLOOKUP(B449,'FLOTA TERCEROS'!$A:$D,4,0)&amp;" — "&amp;VLOOKUP(B449,'FLOTA TERCEROS'!$A:$D,3,0),"⚠ No encontrado")))</f>
        <v>PRADO LAND CRUISER — TOYOTA</v>
      </c>
      <c r="D449" s="38">
        <v>70</v>
      </c>
      <c r="E449" s="39">
        <v>440623</v>
      </c>
      <c r="F449" s="28" t="s">
        <v>119</v>
      </c>
      <c r="G449" s="40" t="s">
        <v>133</v>
      </c>
    </row>
    <row r="450" spans="1:7" ht="18" customHeight="1">
      <c r="A450" s="36">
        <v>45910</v>
      </c>
      <c r="B450" s="37" t="s">
        <v>66</v>
      </c>
      <c r="C450" s="25" t="str">
        <f>IF(B450="","",IFERROR(VLOOKUP(B450,FLOTA!$A:$D,4,0)&amp;" — "&amp;VLOOKUP(B450,FLOTA!$A:$D,3,0),IFERROR(VLOOKUP(B450,'FLOTA TERCEROS'!$A:$D,4,0)&amp;" — "&amp;VLOOKUP(B450,'FLOTA TERCEROS'!$A:$D,3,0),"⚠ No encontrado")))</f>
        <v>SPRINTER 515 CDIC — MERCEDES BENZ</v>
      </c>
      <c r="D450" s="38">
        <v>60</v>
      </c>
      <c r="E450" s="39">
        <v>135125</v>
      </c>
      <c r="F450" s="28" t="s">
        <v>113</v>
      </c>
      <c r="G450" s="40" t="s">
        <v>133</v>
      </c>
    </row>
    <row r="451" spans="1:7" ht="18" customHeight="1">
      <c r="A451" s="36">
        <v>45910</v>
      </c>
      <c r="B451" s="37" t="s">
        <v>36</v>
      </c>
      <c r="C451" s="25" t="str">
        <f>IF(B451="","",IFERROR(VLOOKUP(B451,FLOTA!$A:$D,4,0)&amp;" — "&amp;VLOOKUP(B451,FLOTA!$A:$D,3,0),IFERROR(VLOOKUP(B451,'FLOTA TERCEROS'!$A:$D,4,0)&amp;" — "&amp;VLOOKUP(B451,'FLOTA TERCEROS'!$A:$D,3,0),"⚠ No encontrado")))</f>
        <v>HILUX 4X2 CD SRV 3.0 — TOYOTA</v>
      </c>
      <c r="D451" s="38">
        <v>70</v>
      </c>
      <c r="E451" s="39">
        <v>305433</v>
      </c>
      <c r="F451" s="28" t="s">
        <v>112</v>
      </c>
      <c r="G451" s="40" t="s">
        <v>133</v>
      </c>
    </row>
    <row r="452" spans="1:7" ht="18" customHeight="1">
      <c r="A452" s="36">
        <v>45912</v>
      </c>
      <c r="B452" s="37" t="s">
        <v>43</v>
      </c>
      <c r="C452" s="25" t="str">
        <f>IF(B452="","",IFERROR(VLOOKUP(B452,FLOTA!$A:$D,4,0)&amp;" — "&amp;VLOOKUP(B452,FLOTA!$A:$D,3,0),IFERROR(VLOOKUP(B452,'FLOTA TERCEROS'!$A:$D,4,0)&amp;" — "&amp;VLOOKUP(B452,'FLOTA TERCEROS'!$A:$D,3,0),"⚠ No encontrado")))</f>
        <v>AMAROK CS 2.0 140CV — VOLKSWAGEN</v>
      </c>
      <c r="D452" s="38">
        <v>75</v>
      </c>
      <c r="E452" s="39">
        <v>158680</v>
      </c>
      <c r="F452" s="28" t="s">
        <v>118</v>
      </c>
      <c r="G452" s="40" t="s">
        <v>128</v>
      </c>
    </row>
    <row r="453" spans="1:7" ht="18" customHeight="1">
      <c r="A453" s="36">
        <v>45912</v>
      </c>
      <c r="B453" s="37" t="s">
        <v>58</v>
      </c>
      <c r="C453" s="25" t="str">
        <f>IF(B453="","",IFERROR(VLOOKUP(B453,FLOTA!$A:$D,4,0)&amp;" — "&amp;VLOOKUP(B453,FLOTA!$A:$D,3,0),IFERROR(VLOOKUP(B453,'FLOTA TERCEROS'!$A:$D,4,0)&amp;" — "&amp;VLOOKUP(B453,'FLOTA TERCEROS'!$A:$D,3,0),"⚠ No encontrado")))</f>
        <v>SPRINTER 515 CDIC — MERCEDES BENZ</v>
      </c>
      <c r="D453" s="38">
        <v>60</v>
      </c>
      <c r="E453" s="39">
        <v>211658</v>
      </c>
      <c r="F453" s="28" t="s">
        <v>111</v>
      </c>
      <c r="G453" s="40" t="s">
        <v>133</v>
      </c>
    </row>
    <row r="454" spans="1:7" ht="18" customHeight="1">
      <c r="A454" s="36">
        <v>45912</v>
      </c>
      <c r="B454" s="37" t="s">
        <v>53</v>
      </c>
      <c r="C454" s="25" t="str">
        <f>IF(B454="","",IFERROR(VLOOKUP(B454,FLOTA!$A:$D,4,0)&amp;" — "&amp;VLOOKUP(B454,FLOTA!$A:$D,3,0),IFERROR(VLOOKUP(B454,'FLOTA TERCEROS'!$A:$D,4,0)&amp;" — "&amp;VLOOKUP(B454,'FLOTA TERCEROS'!$A:$D,3,0),"⚠ No encontrado")))</f>
        <v>AMAROK DC 2.0L TDI 180CV 4X4 — VOLKSWAGEN</v>
      </c>
      <c r="D454" s="38">
        <v>70</v>
      </c>
      <c r="E454" s="39">
        <v>280608</v>
      </c>
      <c r="F454" s="28" t="s">
        <v>121</v>
      </c>
      <c r="G454" s="40" t="s">
        <v>134</v>
      </c>
    </row>
    <row r="455" spans="1:7" ht="18" customHeight="1">
      <c r="A455" s="36">
        <v>45912</v>
      </c>
      <c r="B455" s="37" t="s">
        <v>49</v>
      </c>
      <c r="C455" s="25" t="str">
        <f>IF(B455="","",IFERROR(VLOOKUP(B455,FLOTA!$A:$D,4,0)&amp;" — "&amp;VLOOKUP(B455,FLOTA!$A:$D,3,0),IFERROR(VLOOKUP(B455,'FLOTA TERCEROS'!$A:$D,4,0)&amp;" — "&amp;VLOOKUP(B455,'FLOTA TERCEROS'!$A:$D,3,0),"⚠ No encontrado")))</f>
        <v>AMAROK CD 2.0 4X4 180CV — VOLKSWAGEN</v>
      </c>
      <c r="D455" s="38">
        <v>70</v>
      </c>
      <c r="E455" s="39">
        <v>213693</v>
      </c>
      <c r="F455" s="28" t="s">
        <v>112</v>
      </c>
      <c r="G455" s="40" t="s">
        <v>133</v>
      </c>
    </row>
    <row r="456" spans="1:7" ht="18" customHeight="1">
      <c r="A456" s="36">
        <v>45913</v>
      </c>
      <c r="B456" s="37" t="s">
        <v>86</v>
      </c>
      <c r="C456" s="25" t="str">
        <f>IF(B456="","",IFERROR(VLOOKUP(B456,FLOTA!$A:$D,4,0)&amp;" — "&amp;VLOOKUP(B456,FLOTA!$A:$D,3,0),IFERROR(VLOOKUP(B456,'FLOTA TERCEROS'!$A:$D,4,0)&amp;" — "&amp;VLOOKUP(B456,'FLOTA TERCEROS'!$A:$D,3,0),"⚠ No encontrado")))</f>
        <v>RANGER — FORD</v>
      </c>
      <c r="D456" s="38">
        <v>75</v>
      </c>
      <c r="E456" s="39">
        <v>68510</v>
      </c>
      <c r="F456" s="28" t="s">
        <v>116</v>
      </c>
      <c r="G456" s="40" t="s">
        <v>139</v>
      </c>
    </row>
    <row r="457" spans="1:7" ht="18" customHeight="1">
      <c r="A457" s="36">
        <v>45916</v>
      </c>
      <c r="B457" s="37" t="s">
        <v>36</v>
      </c>
      <c r="C457" s="25" t="str">
        <f>IF(B457="","",IFERROR(VLOOKUP(B457,FLOTA!$A:$D,4,0)&amp;" — "&amp;VLOOKUP(B457,FLOTA!$A:$D,3,0),IFERROR(VLOOKUP(B457,'FLOTA TERCEROS'!$A:$D,4,0)&amp;" — "&amp;VLOOKUP(B457,'FLOTA TERCEROS'!$A:$D,3,0),"⚠ No encontrado")))</f>
        <v>HILUX 4X2 CD SRV 3.0 — TOYOTA</v>
      </c>
      <c r="D457" s="38">
        <v>60</v>
      </c>
      <c r="E457" s="39">
        <v>306044</v>
      </c>
      <c r="F457" s="28" t="s">
        <v>112</v>
      </c>
      <c r="G457" s="40" t="s">
        <v>133</v>
      </c>
    </row>
    <row r="458" spans="1:7" ht="18" customHeight="1">
      <c r="A458" s="36">
        <v>45916</v>
      </c>
      <c r="B458" s="37" t="s">
        <v>24</v>
      </c>
      <c r="C458" s="25" t="str">
        <f>IF(B458="","",IFERROR(VLOOKUP(B458,FLOTA!$A:$D,4,0)&amp;" — "&amp;VLOOKUP(B458,FLOTA!$A:$D,3,0),IFERROR(VLOOKUP(B458,'FLOTA TERCEROS'!$A:$D,4,0)&amp;" — "&amp;VLOOKUP(B458,'FLOTA TERCEROS'!$A:$D,3,0),"⚠ No encontrado")))</f>
        <v>RANGER 2 CD 4X4 XLS 3.2L — FORD</v>
      </c>
      <c r="D458" s="38">
        <v>75</v>
      </c>
      <c r="E458" s="39">
        <v>246665</v>
      </c>
      <c r="F458" s="28" t="s">
        <v>108</v>
      </c>
      <c r="G458" s="40" t="s">
        <v>140</v>
      </c>
    </row>
    <row r="459" spans="1:7" ht="18" customHeight="1">
      <c r="A459" s="36">
        <v>45916</v>
      </c>
      <c r="B459" s="37" t="s">
        <v>66</v>
      </c>
      <c r="C459" s="25" t="str">
        <f>IF(B459="","",IFERROR(VLOOKUP(B459,FLOTA!$A:$D,4,0)&amp;" — "&amp;VLOOKUP(B459,FLOTA!$A:$D,3,0),IFERROR(VLOOKUP(B459,'FLOTA TERCEROS'!$A:$D,4,0)&amp;" — "&amp;VLOOKUP(B459,'FLOTA TERCEROS'!$A:$D,3,0),"⚠ No encontrado")))</f>
        <v>SPRINTER 515 CDIC — MERCEDES BENZ</v>
      </c>
      <c r="D459" s="38">
        <v>65</v>
      </c>
      <c r="E459" s="39">
        <v>135644</v>
      </c>
      <c r="F459" s="28" t="s">
        <v>113</v>
      </c>
      <c r="G459" s="40" t="s">
        <v>133</v>
      </c>
    </row>
    <row r="460" spans="1:7" ht="18" customHeight="1">
      <c r="A460" s="36">
        <v>45917</v>
      </c>
      <c r="B460" s="37" t="s">
        <v>58</v>
      </c>
      <c r="C460" s="25" t="str">
        <f>IF(B460="","",IFERROR(VLOOKUP(B460,FLOTA!$A:$D,4,0)&amp;" — "&amp;VLOOKUP(B460,FLOTA!$A:$D,3,0),IFERROR(VLOOKUP(B460,'FLOTA TERCEROS'!$A:$D,4,0)&amp;" — "&amp;VLOOKUP(B460,'FLOTA TERCEROS'!$A:$D,3,0),"⚠ No encontrado")))</f>
        <v>SPRINTER 515 CDIC — MERCEDES BENZ</v>
      </c>
      <c r="D460" s="38">
        <v>60</v>
      </c>
      <c r="E460" s="39">
        <v>212098</v>
      </c>
      <c r="F460" s="28" t="s">
        <v>111</v>
      </c>
      <c r="G460" s="40" t="s">
        <v>133</v>
      </c>
    </row>
    <row r="461" spans="1:7" ht="18" customHeight="1">
      <c r="A461" s="36">
        <v>45918</v>
      </c>
      <c r="B461" s="37" t="s">
        <v>53</v>
      </c>
      <c r="C461" s="25" t="str">
        <f>IF(B461="","",IFERROR(VLOOKUP(B461,FLOTA!$A:$D,4,0)&amp;" — "&amp;VLOOKUP(B461,FLOTA!$A:$D,3,0),IFERROR(VLOOKUP(B461,'FLOTA TERCEROS'!$A:$D,4,0)&amp;" — "&amp;VLOOKUP(B461,'FLOTA TERCEROS'!$A:$D,3,0),"⚠ No encontrado")))</f>
        <v>AMAROK DC 2.0L TDI 180CV 4X4 — VOLKSWAGEN</v>
      </c>
      <c r="D461" s="38">
        <v>70</v>
      </c>
      <c r="E461" s="39">
        <v>281298</v>
      </c>
      <c r="F461" s="28" t="s">
        <v>121</v>
      </c>
      <c r="G461" s="40" t="s">
        <v>134</v>
      </c>
    </row>
    <row r="462" spans="1:7" ht="18" customHeight="1">
      <c r="A462" s="36">
        <v>45919</v>
      </c>
      <c r="B462" s="37" t="s">
        <v>36</v>
      </c>
      <c r="C462" s="25" t="str">
        <f>IF(B462="","",IFERROR(VLOOKUP(B462,FLOTA!$A:$D,4,0)&amp;" — "&amp;VLOOKUP(B462,FLOTA!$A:$D,3,0),IFERROR(VLOOKUP(B462,'FLOTA TERCEROS'!$A:$D,4,0)&amp;" — "&amp;VLOOKUP(B462,'FLOTA TERCEROS'!$A:$D,3,0),"⚠ No encontrado")))</f>
        <v>HILUX 4X2 CD SRV 3.0 — TOYOTA</v>
      </c>
      <c r="D462" s="38">
        <v>60</v>
      </c>
      <c r="E462" s="39">
        <v>306558</v>
      </c>
      <c r="F462" s="28" t="s">
        <v>112</v>
      </c>
      <c r="G462" s="40" t="s">
        <v>133</v>
      </c>
    </row>
    <row r="463" spans="1:7" ht="18" customHeight="1">
      <c r="A463" s="36">
        <v>45920</v>
      </c>
      <c r="B463" s="37" t="s">
        <v>86</v>
      </c>
      <c r="C463" s="25" t="str">
        <f>IF(B463="","",IFERROR(VLOOKUP(B463,FLOTA!$A:$D,4,0)&amp;" — "&amp;VLOOKUP(B463,FLOTA!$A:$D,3,0),IFERROR(VLOOKUP(B463,'FLOTA TERCEROS'!$A:$D,4,0)&amp;" — "&amp;VLOOKUP(B463,'FLOTA TERCEROS'!$A:$D,3,0),"⚠ No encontrado")))</f>
        <v>RANGER — FORD</v>
      </c>
      <c r="D463" s="38">
        <v>55</v>
      </c>
      <c r="E463" s="39">
        <v>69046</v>
      </c>
      <c r="F463" s="28" t="s">
        <v>116</v>
      </c>
      <c r="G463" s="40" t="s">
        <v>139</v>
      </c>
    </row>
    <row r="464" spans="1:7" ht="18" customHeight="1">
      <c r="A464" s="36">
        <v>45921</v>
      </c>
      <c r="B464" s="37" t="s">
        <v>24</v>
      </c>
      <c r="C464" s="25" t="str">
        <f>IF(B464="","",IFERROR(VLOOKUP(B464,FLOTA!$A:$D,4,0)&amp;" — "&amp;VLOOKUP(B464,FLOTA!$A:$D,3,0),IFERROR(VLOOKUP(B464,'FLOTA TERCEROS'!$A:$D,4,0)&amp;" — "&amp;VLOOKUP(B464,'FLOTA TERCEROS'!$A:$D,3,0),"⚠ No encontrado")))</f>
        <v>RANGER 2 CD 4X4 XLS 3.2L — FORD</v>
      </c>
      <c r="D464" s="38">
        <v>65</v>
      </c>
      <c r="E464" s="39">
        <v>247351</v>
      </c>
      <c r="F464" s="28" t="s">
        <v>108</v>
      </c>
      <c r="G464" s="40" t="s">
        <v>140</v>
      </c>
    </row>
    <row r="465" spans="1:7" ht="18" customHeight="1">
      <c r="A465" s="36">
        <v>45923</v>
      </c>
      <c r="B465" s="37" t="s">
        <v>81</v>
      </c>
      <c r="C465" s="25" t="str">
        <f>IF(B465="","",IFERROR(VLOOKUP(B465,FLOTA!$A:$D,4,0)&amp;" — "&amp;VLOOKUP(B465,FLOTA!$A:$D,3,0),IFERROR(VLOOKUP(B465,'FLOTA TERCEROS'!$A:$D,4,0)&amp;" — "&amp;VLOOKUP(B465,'FLOTA TERCEROS'!$A:$D,3,0),"⚠ No encontrado")))</f>
        <v>RANGER — FORD</v>
      </c>
      <c r="D465" s="38">
        <v>70</v>
      </c>
      <c r="E465" s="39">
        <v>61517</v>
      </c>
      <c r="F465" s="28" t="s">
        <v>114</v>
      </c>
      <c r="G465" s="40" t="s">
        <v>138</v>
      </c>
    </row>
    <row r="466" spans="1:7" ht="18" customHeight="1">
      <c r="A466" s="36">
        <v>45923</v>
      </c>
      <c r="B466" s="37" t="s">
        <v>32</v>
      </c>
      <c r="C466" s="25" t="str">
        <f>IF(B466="","",IFERROR(VLOOKUP(B466,FLOTA!$A:$D,4,0)&amp;" — "&amp;VLOOKUP(B466,FLOTA!$A:$D,3,0),IFERROR(VLOOKUP(B466,'FLOTA TERCEROS'!$A:$D,4,0)&amp;" — "&amp;VLOOKUP(B466,'FLOTA TERCEROS'!$A:$D,3,0),"⚠ No encontrado")))</f>
        <v>PRADO LAND CRUISER — TOYOTA</v>
      </c>
      <c r="D466" s="38">
        <v>70</v>
      </c>
      <c r="E466" s="39">
        <v>441108</v>
      </c>
      <c r="F466" s="28" t="s">
        <v>119</v>
      </c>
      <c r="G466" s="40" t="s">
        <v>133</v>
      </c>
    </row>
    <row r="467" spans="1:7" ht="18" customHeight="1">
      <c r="A467" s="36">
        <v>45923</v>
      </c>
      <c r="B467" s="37" t="s">
        <v>53</v>
      </c>
      <c r="C467" s="25" t="str">
        <f>IF(B467="","",IFERROR(VLOOKUP(B467,FLOTA!$A:$D,4,0)&amp;" — "&amp;VLOOKUP(B467,FLOTA!$A:$D,3,0),IFERROR(VLOOKUP(B467,'FLOTA TERCEROS'!$A:$D,4,0)&amp;" — "&amp;VLOOKUP(B467,'FLOTA TERCEROS'!$A:$D,3,0),"⚠ No encontrado")))</f>
        <v>AMAROK DC 2.0L TDI 180CV 4X4 — VOLKSWAGEN</v>
      </c>
      <c r="D467" s="38">
        <v>70</v>
      </c>
      <c r="E467" s="39">
        <v>281980</v>
      </c>
      <c r="F467" s="28" t="s">
        <v>121</v>
      </c>
      <c r="G467" s="40" t="s">
        <v>134</v>
      </c>
    </row>
    <row r="468" spans="1:7" ht="18" customHeight="1">
      <c r="A468" s="36">
        <v>45923</v>
      </c>
      <c r="B468" s="37" t="s">
        <v>58</v>
      </c>
      <c r="C468" s="25" t="str">
        <f>IF(B468="","",IFERROR(VLOOKUP(B468,FLOTA!$A:$D,4,0)&amp;" — "&amp;VLOOKUP(B468,FLOTA!$A:$D,3,0),IFERROR(VLOOKUP(B468,'FLOTA TERCEROS'!$A:$D,4,0)&amp;" — "&amp;VLOOKUP(B468,'FLOTA TERCEROS'!$A:$D,3,0),"⚠ No encontrado")))</f>
        <v>SPRINTER 515 CDIC — MERCEDES BENZ</v>
      </c>
      <c r="D468" s="38">
        <v>60</v>
      </c>
      <c r="E468" s="39">
        <v>211608</v>
      </c>
      <c r="F468" s="28" t="s">
        <v>111</v>
      </c>
      <c r="G468" s="40" t="s">
        <v>133</v>
      </c>
    </row>
    <row r="469" spans="1:7" ht="18" customHeight="1">
      <c r="A469" s="36">
        <v>45924</v>
      </c>
      <c r="B469" s="37" t="s">
        <v>86</v>
      </c>
      <c r="C469" s="25" t="str">
        <f>IF(B469="","",IFERROR(VLOOKUP(B469,FLOTA!$A:$D,4,0)&amp;" — "&amp;VLOOKUP(B469,FLOTA!$A:$D,3,0),IFERROR(VLOOKUP(B469,'FLOTA TERCEROS'!$A:$D,4,0)&amp;" — "&amp;VLOOKUP(B469,'FLOTA TERCEROS'!$A:$D,3,0),"⚠ No encontrado")))</f>
        <v>RANGER — FORD</v>
      </c>
      <c r="D469" s="38">
        <v>50</v>
      </c>
      <c r="E469" s="39">
        <v>69656</v>
      </c>
      <c r="F469" s="28" t="s">
        <v>116</v>
      </c>
      <c r="G469" s="40" t="s">
        <v>139</v>
      </c>
    </row>
    <row r="470" spans="1:7" ht="18" customHeight="1">
      <c r="A470" s="36">
        <v>45925</v>
      </c>
      <c r="B470" s="37" t="s">
        <v>43</v>
      </c>
      <c r="C470" s="25" t="str">
        <f>IF(B470="","",IFERROR(VLOOKUP(B470,FLOTA!$A:$D,4,0)&amp;" — "&amp;VLOOKUP(B470,FLOTA!$A:$D,3,0),IFERROR(VLOOKUP(B470,'FLOTA TERCEROS'!$A:$D,4,0)&amp;" — "&amp;VLOOKUP(B470,'FLOTA TERCEROS'!$A:$D,3,0),"⚠ No encontrado")))</f>
        <v>AMAROK CS 2.0 140CV — VOLKSWAGEN</v>
      </c>
      <c r="D470" s="38">
        <v>75</v>
      </c>
      <c r="E470" s="39">
        <v>160286</v>
      </c>
      <c r="F470" s="28" t="s">
        <v>118</v>
      </c>
      <c r="G470" s="40" t="s">
        <v>128</v>
      </c>
    </row>
    <row r="471" spans="1:7" ht="18" customHeight="1">
      <c r="A471" s="36">
        <v>45926</v>
      </c>
      <c r="B471" s="37" t="s">
        <v>36</v>
      </c>
      <c r="C471" s="25" t="str">
        <f>IF(B471="","",IFERROR(VLOOKUP(B471,FLOTA!$A:$D,4,0)&amp;" — "&amp;VLOOKUP(B471,FLOTA!$A:$D,3,0),IFERROR(VLOOKUP(B471,'FLOTA TERCEROS'!$A:$D,4,0)&amp;" — "&amp;VLOOKUP(B471,'FLOTA TERCEROS'!$A:$D,3,0),"⚠ No encontrado")))</f>
        <v>HILUX 4X2 CD SRV 3.0 — TOYOTA</v>
      </c>
      <c r="D471" s="38">
        <v>50</v>
      </c>
      <c r="E471" s="39">
        <v>307079</v>
      </c>
      <c r="F471" s="28" t="s">
        <v>113</v>
      </c>
      <c r="G471" s="40" t="s">
        <v>133</v>
      </c>
    </row>
    <row r="472" spans="1:7" ht="18" customHeight="1">
      <c r="A472" s="36">
        <v>45926</v>
      </c>
      <c r="B472" s="37" t="s">
        <v>32</v>
      </c>
      <c r="C472" s="25" t="str">
        <f>IF(B472="","",IFERROR(VLOOKUP(B472,FLOTA!$A:$D,4,0)&amp;" — "&amp;VLOOKUP(B472,FLOTA!$A:$D,3,0),IFERROR(VLOOKUP(B472,'FLOTA TERCEROS'!$A:$D,4,0)&amp;" — "&amp;VLOOKUP(B472,'FLOTA TERCEROS'!$A:$D,3,0),"⚠ No encontrado")))</f>
        <v>PRADO LAND CRUISER — TOYOTA</v>
      </c>
      <c r="D472" s="38">
        <v>40</v>
      </c>
      <c r="E472" s="39">
        <v>441397</v>
      </c>
      <c r="F472" s="28" t="s">
        <v>119</v>
      </c>
      <c r="G472" s="40" t="s">
        <v>133</v>
      </c>
    </row>
    <row r="473" spans="1:7" ht="18" customHeight="1">
      <c r="A473" s="36">
        <v>45926</v>
      </c>
      <c r="B473" s="37" t="s">
        <v>58</v>
      </c>
      <c r="C473" s="25" t="str">
        <f>IF(B473="","",IFERROR(VLOOKUP(B473,FLOTA!$A:$D,4,0)&amp;" — "&amp;VLOOKUP(B473,FLOTA!$A:$D,3,0),IFERROR(VLOOKUP(B473,'FLOTA TERCEROS'!$A:$D,4,0)&amp;" — "&amp;VLOOKUP(B473,'FLOTA TERCEROS'!$A:$D,3,0),"⚠ No encontrado")))</f>
        <v>SPRINTER 515 CDIC — MERCEDES BENZ</v>
      </c>
      <c r="D473" s="38">
        <v>50</v>
      </c>
      <c r="E473" s="39">
        <v>211955</v>
      </c>
      <c r="F473" s="28" t="s">
        <v>111</v>
      </c>
      <c r="G473" s="40" t="s">
        <v>133</v>
      </c>
    </row>
    <row r="474" spans="1:7" ht="18" customHeight="1">
      <c r="A474" s="36">
        <v>45926</v>
      </c>
      <c r="B474" s="37" t="s">
        <v>90</v>
      </c>
      <c r="C474" s="25" t="str">
        <f>IF(B474="","",IFERROR(VLOOKUP(B474,FLOTA!$A:$D,4,0)&amp;" — "&amp;VLOOKUP(B474,FLOTA!$A:$D,3,0),IFERROR(VLOOKUP(B474,'FLOTA TERCEROS'!$A:$D,4,0)&amp;" — "&amp;VLOOKUP(B474,'FLOTA TERCEROS'!$A:$D,3,0),"⚠ No encontrado")))</f>
        <v>RANGER — FORD</v>
      </c>
      <c r="D474" s="38">
        <v>80</v>
      </c>
      <c r="E474" s="39">
        <v>39472</v>
      </c>
      <c r="F474" s="28" t="s">
        <v>116</v>
      </c>
      <c r="G474" s="40" t="s">
        <v>139</v>
      </c>
    </row>
    <row r="475" spans="1:7" ht="18" customHeight="1">
      <c r="A475" s="36">
        <v>45929</v>
      </c>
      <c r="B475" s="37" t="s">
        <v>53</v>
      </c>
      <c r="C475" s="25" t="str">
        <f>IF(B475="","",IFERROR(VLOOKUP(B475,FLOTA!$A:$D,4,0)&amp;" — "&amp;VLOOKUP(B475,FLOTA!$A:$D,3,0),IFERROR(VLOOKUP(B475,'FLOTA TERCEROS'!$A:$D,4,0)&amp;" — "&amp;VLOOKUP(B475,'FLOTA TERCEROS'!$A:$D,3,0),"⚠ No encontrado")))</f>
        <v>AMAROK DC 2.0L TDI 180CV 4X4 — VOLKSWAGEN</v>
      </c>
      <c r="D475" s="38">
        <v>70</v>
      </c>
      <c r="E475" s="39">
        <v>282641</v>
      </c>
      <c r="F475" s="28" t="s">
        <v>121</v>
      </c>
      <c r="G475" s="40" t="s">
        <v>134</v>
      </c>
    </row>
    <row r="476" spans="1:7" ht="18" customHeight="1">
      <c r="A476" s="36">
        <v>45930</v>
      </c>
      <c r="B476" s="37" t="s">
        <v>24</v>
      </c>
      <c r="C476" s="25" t="str">
        <f>IF(B476="","",IFERROR(VLOOKUP(B476,FLOTA!$A:$D,4,0)&amp;" — "&amp;VLOOKUP(B476,FLOTA!$A:$D,3,0),IFERROR(VLOOKUP(B476,'FLOTA TERCEROS'!$A:$D,4,0)&amp;" — "&amp;VLOOKUP(B476,'FLOTA TERCEROS'!$A:$D,3,0),"⚠ No encontrado")))</f>
        <v>RANGER 2 CD 4X4 XLS 3.2L — FORD</v>
      </c>
      <c r="D476" s="38">
        <v>70</v>
      </c>
      <c r="E476" s="39">
        <v>248145</v>
      </c>
      <c r="F476" s="28" t="s">
        <v>108</v>
      </c>
      <c r="G476" s="40" t="s">
        <v>140</v>
      </c>
    </row>
    <row r="477" spans="1:7" ht="18" customHeight="1">
      <c r="A477" s="36">
        <v>45931</v>
      </c>
      <c r="B477" s="37" t="s">
        <v>43</v>
      </c>
      <c r="C477" s="25" t="str">
        <f>IF(B477="","",IFERROR(VLOOKUP(B477,FLOTA!$A:$D,4,0)&amp;" — "&amp;VLOOKUP(B477,FLOTA!$A:$D,3,0),IFERROR(VLOOKUP(B477,'FLOTA TERCEROS'!$A:$D,4,0)&amp;" — "&amp;VLOOKUP(B477,'FLOTA TERCEROS'!$A:$D,3,0),"⚠ No encontrado")))</f>
        <v>AMAROK CS 2.0 140CV — VOLKSWAGEN</v>
      </c>
      <c r="D477" s="38">
        <v>80</v>
      </c>
      <c r="E477" s="39">
        <v>161076</v>
      </c>
      <c r="F477" s="28" t="s">
        <v>118</v>
      </c>
      <c r="G477" s="40" t="s">
        <v>128</v>
      </c>
    </row>
    <row r="478" spans="1:7" ht="18" customHeight="1">
      <c r="A478" s="36">
        <v>45931</v>
      </c>
      <c r="B478" s="37" t="s">
        <v>58</v>
      </c>
      <c r="C478" s="25" t="str">
        <f>IF(B478="","",IFERROR(VLOOKUP(B478,FLOTA!$A:$D,4,0)&amp;" — "&amp;VLOOKUP(B478,FLOTA!$A:$D,3,0),IFERROR(VLOOKUP(B478,'FLOTA TERCEROS'!$A:$D,4,0)&amp;" — "&amp;VLOOKUP(B478,'FLOTA TERCEROS'!$A:$D,3,0),"⚠ No encontrado")))</f>
        <v>SPRINTER 515 CDIC — MERCEDES BENZ</v>
      </c>
      <c r="D478" s="38">
        <v>55</v>
      </c>
      <c r="E478" s="39">
        <v>213325</v>
      </c>
      <c r="F478" s="28" t="s">
        <v>111</v>
      </c>
      <c r="G478" s="40" t="s">
        <v>133</v>
      </c>
    </row>
    <row r="479" spans="1:7" ht="18" customHeight="1">
      <c r="A479" s="36">
        <v>45931</v>
      </c>
      <c r="B479" s="37" t="s">
        <v>36</v>
      </c>
      <c r="C479" s="25" t="str">
        <f>IF(B479="","",IFERROR(VLOOKUP(B479,FLOTA!$A:$D,4,0)&amp;" — "&amp;VLOOKUP(B479,FLOTA!$A:$D,3,0),IFERROR(VLOOKUP(B479,'FLOTA TERCEROS'!$A:$D,4,0)&amp;" — "&amp;VLOOKUP(B479,'FLOTA TERCEROS'!$A:$D,3,0),"⚠ No encontrado")))</f>
        <v>HILUX 4X2 CD SRV 3.0 — TOYOTA</v>
      </c>
      <c r="D479" s="38">
        <v>80</v>
      </c>
      <c r="E479" s="39">
        <v>307784</v>
      </c>
      <c r="F479" s="28" t="s">
        <v>113</v>
      </c>
      <c r="G479" s="40" t="s">
        <v>141</v>
      </c>
    </row>
    <row r="480" spans="1:7" ht="18" customHeight="1">
      <c r="A480" s="36">
        <v>45933</v>
      </c>
      <c r="B480" s="37" t="s">
        <v>66</v>
      </c>
      <c r="C480" s="25" t="str">
        <f>IF(B480="","",IFERROR(VLOOKUP(B480,FLOTA!$A:$D,4,0)&amp;" — "&amp;VLOOKUP(B480,FLOTA!$A:$D,3,0),IFERROR(VLOOKUP(B480,'FLOTA TERCEROS'!$A:$D,4,0)&amp;" — "&amp;VLOOKUP(B480,'FLOTA TERCEROS'!$A:$D,3,0),"⚠ No encontrado")))</f>
        <v>SPRINTER 515 CDIC — MERCEDES BENZ</v>
      </c>
      <c r="D480" s="38">
        <v>70</v>
      </c>
      <c r="E480" s="39">
        <v>136606</v>
      </c>
      <c r="F480" s="28" t="s">
        <v>113</v>
      </c>
      <c r="G480" s="40" t="s">
        <v>133</v>
      </c>
    </row>
    <row r="481" spans="1:7" ht="18" customHeight="1">
      <c r="A481" s="36">
        <v>45933</v>
      </c>
      <c r="B481" s="37" t="s">
        <v>36</v>
      </c>
      <c r="C481" s="25" t="str">
        <f>IF(B481="","",IFERROR(VLOOKUP(B481,FLOTA!$A:$D,4,0)&amp;" — "&amp;VLOOKUP(B481,FLOTA!$A:$D,3,0),IFERROR(VLOOKUP(B481,'FLOTA TERCEROS'!$A:$D,4,0)&amp;" — "&amp;VLOOKUP(B481,'FLOTA TERCEROS'!$A:$D,3,0),"⚠ No encontrado")))</f>
        <v>HILUX 4X2 CD SRV 3.0 — TOYOTA</v>
      </c>
      <c r="D481" s="38">
        <v>60</v>
      </c>
      <c r="E481" s="39">
        <v>308331</v>
      </c>
      <c r="F481" s="28" t="s">
        <v>113</v>
      </c>
      <c r="G481" s="40" t="s">
        <v>141</v>
      </c>
    </row>
    <row r="482" spans="1:7" ht="18" customHeight="1">
      <c r="A482" s="36">
        <v>45933</v>
      </c>
      <c r="B482" s="37" t="s">
        <v>32</v>
      </c>
      <c r="C482" s="25" t="str">
        <f>IF(B482="","",IFERROR(VLOOKUP(B482,FLOTA!$A:$D,4,0)&amp;" — "&amp;VLOOKUP(B482,FLOTA!$A:$D,3,0),IFERROR(VLOOKUP(B482,'FLOTA TERCEROS'!$A:$D,4,0)&amp;" — "&amp;VLOOKUP(B482,'FLOTA TERCEROS'!$A:$D,3,0),"⚠ No encontrado")))</f>
        <v>PRADO LAND CRUISER — TOYOTA</v>
      </c>
      <c r="D482" s="38">
        <v>55</v>
      </c>
      <c r="E482" s="39">
        <v>441791</v>
      </c>
      <c r="F482" s="28" t="s">
        <v>119</v>
      </c>
      <c r="G482" s="40" t="s">
        <v>133</v>
      </c>
    </row>
    <row r="483" spans="1:7" ht="18" customHeight="1">
      <c r="A483" s="36">
        <v>45936</v>
      </c>
      <c r="B483" s="37" t="s">
        <v>53</v>
      </c>
      <c r="C483" s="25" t="str">
        <f>IF(B483="","",IFERROR(VLOOKUP(B483,FLOTA!$A:$D,4,0)&amp;" — "&amp;VLOOKUP(B483,FLOTA!$A:$D,3,0),IFERROR(VLOOKUP(B483,'FLOTA TERCEROS'!$A:$D,4,0)&amp;" — "&amp;VLOOKUP(B483,'FLOTA TERCEROS'!$A:$D,3,0),"⚠ No encontrado")))</f>
        <v>AMAROK DC 2.0L TDI 180CV 4X4 — VOLKSWAGEN</v>
      </c>
      <c r="D483" s="38">
        <v>75</v>
      </c>
      <c r="E483" s="39">
        <v>283345</v>
      </c>
      <c r="F483" s="28" t="s">
        <v>121</v>
      </c>
      <c r="G483" s="40" t="s">
        <v>134</v>
      </c>
    </row>
    <row r="484" spans="1:7" ht="18" customHeight="1">
      <c r="A484" s="36">
        <v>45936</v>
      </c>
      <c r="B484" s="37" t="s">
        <v>90</v>
      </c>
      <c r="C484" s="25" t="str">
        <f>IF(B484="","",IFERROR(VLOOKUP(B484,FLOTA!$A:$D,4,0)&amp;" — "&amp;VLOOKUP(B484,FLOTA!$A:$D,3,0),IFERROR(VLOOKUP(B484,'FLOTA TERCEROS'!$A:$D,4,0)&amp;" — "&amp;VLOOKUP(B484,'FLOTA TERCEROS'!$A:$D,3,0),"⚠ No encontrado")))</f>
        <v>RANGER — FORD</v>
      </c>
      <c r="D484" s="38">
        <v>50</v>
      </c>
      <c r="E484" s="39">
        <v>40149</v>
      </c>
      <c r="F484" s="28" t="s">
        <v>116</v>
      </c>
      <c r="G484" s="40" t="s">
        <v>139</v>
      </c>
    </row>
    <row r="485" spans="1:7" ht="18" customHeight="1">
      <c r="A485" s="36">
        <v>45936</v>
      </c>
      <c r="B485" s="37" t="s">
        <v>81</v>
      </c>
      <c r="C485" s="25" t="str">
        <f>IF(B485="","",IFERROR(VLOOKUP(B485,FLOTA!$A:$D,4,0)&amp;" — "&amp;VLOOKUP(B485,FLOTA!$A:$D,3,0),IFERROR(VLOOKUP(B485,'FLOTA TERCEROS'!$A:$D,4,0)&amp;" — "&amp;VLOOKUP(B485,'FLOTA TERCEROS'!$A:$D,3,0),"⚠ No encontrado")))</f>
        <v>RANGER — FORD</v>
      </c>
      <c r="D485" s="38">
        <v>70</v>
      </c>
      <c r="E485" s="39">
        <v>62149</v>
      </c>
      <c r="F485" s="28" t="s">
        <v>114</v>
      </c>
      <c r="G485" s="40" t="s">
        <v>138</v>
      </c>
    </row>
    <row r="486" spans="1:7" ht="18" customHeight="1">
      <c r="A486" s="36">
        <v>45937</v>
      </c>
      <c r="B486" s="37" t="s">
        <v>36</v>
      </c>
      <c r="C486" s="25" t="str">
        <f>IF(B486="","",IFERROR(VLOOKUP(B486,FLOTA!$A:$D,4,0)&amp;" — "&amp;VLOOKUP(B486,FLOTA!$A:$D,3,0),IFERROR(VLOOKUP(B486,'FLOTA TERCEROS'!$A:$D,4,0)&amp;" — "&amp;VLOOKUP(B486,'FLOTA TERCEROS'!$A:$D,3,0),"⚠ No encontrado")))</f>
        <v>HILUX 4X2 CD SRV 3.0 — TOYOTA</v>
      </c>
      <c r="D486" s="38">
        <v>60</v>
      </c>
      <c r="E486" s="39">
        <v>309009</v>
      </c>
      <c r="F486" s="28" t="s">
        <v>113</v>
      </c>
      <c r="G486" s="40" t="s">
        <v>141</v>
      </c>
    </row>
    <row r="487" spans="1:7" ht="18" customHeight="1">
      <c r="A487" s="36">
        <v>45937</v>
      </c>
      <c r="B487" s="37" t="s">
        <v>24</v>
      </c>
      <c r="C487" s="25" t="str">
        <f>IF(B487="","",IFERROR(VLOOKUP(B487,FLOTA!$A:$D,4,0)&amp;" — "&amp;VLOOKUP(B487,FLOTA!$A:$D,3,0),IFERROR(VLOOKUP(B487,'FLOTA TERCEROS'!$A:$D,4,0)&amp;" — "&amp;VLOOKUP(B487,'FLOTA TERCEROS'!$A:$D,3,0),"⚠ No encontrado")))</f>
        <v>RANGER 2 CD 4X4 XLS 3.2L — FORD</v>
      </c>
      <c r="D487" s="38">
        <v>65</v>
      </c>
      <c r="E487" s="39">
        <v>248799</v>
      </c>
      <c r="F487" s="28" t="s">
        <v>108</v>
      </c>
      <c r="G487" s="40" t="s">
        <v>140</v>
      </c>
    </row>
    <row r="488" spans="1:7" ht="18" customHeight="1">
      <c r="A488" s="36">
        <v>45937</v>
      </c>
      <c r="B488" s="37" t="s">
        <v>58</v>
      </c>
      <c r="C488" s="25" t="str">
        <f>IF(B488="","",IFERROR(VLOOKUP(B488,FLOTA!$A:$D,4,0)&amp;" — "&amp;VLOOKUP(B488,FLOTA!$A:$D,3,0),IFERROR(VLOOKUP(B488,'FLOTA TERCEROS'!$A:$D,4,0)&amp;" — "&amp;VLOOKUP(B488,'FLOTA TERCEROS'!$A:$D,3,0),"⚠ No encontrado")))</f>
        <v>SPRINTER 515 CDIC — MERCEDES BENZ</v>
      </c>
      <c r="D488" s="38">
        <v>55</v>
      </c>
      <c r="E488" s="39">
        <v>213706</v>
      </c>
      <c r="F488" s="28" t="s">
        <v>111</v>
      </c>
      <c r="G488" s="40" t="s">
        <v>133</v>
      </c>
    </row>
    <row r="489" spans="1:7" ht="18" customHeight="1">
      <c r="A489" s="36">
        <v>45938</v>
      </c>
      <c r="B489" s="37" t="s">
        <v>43</v>
      </c>
      <c r="C489" s="25" t="str">
        <f>IF(B489="","",IFERROR(VLOOKUP(B489,FLOTA!$A:$D,4,0)&amp;" — "&amp;VLOOKUP(B489,FLOTA!$A:$D,3,0),IFERROR(VLOOKUP(B489,'FLOTA TERCEROS'!$A:$D,4,0)&amp;" — "&amp;VLOOKUP(B489,'FLOTA TERCEROS'!$A:$D,3,0),"⚠ No encontrado")))</f>
        <v>AMAROK CS 2.0 140CV — VOLKSWAGEN</v>
      </c>
      <c r="D489" s="38">
        <v>65</v>
      </c>
      <c r="E489" s="39">
        <v>161901</v>
      </c>
      <c r="F489" s="28" t="s">
        <v>118</v>
      </c>
      <c r="G489" s="40" t="s">
        <v>128</v>
      </c>
    </row>
    <row r="490" spans="1:7" ht="18" customHeight="1">
      <c r="A490" s="36">
        <v>45938</v>
      </c>
      <c r="B490" s="37" t="s">
        <v>32</v>
      </c>
      <c r="C490" s="25" t="str">
        <f>IF(B490="","",IFERROR(VLOOKUP(B490,FLOTA!$A:$D,4,0)&amp;" — "&amp;VLOOKUP(B490,FLOTA!$A:$D,3,0),IFERROR(VLOOKUP(B490,'FLOTA TERCEROS'!$A:$D,4,0)&amp;" — "&amp;VLOOKUP(B490,'FLOTA TERCEROS'!$A:$D,3,0),"⚠ No encontrado")))</f>
        <v>PRADO LAND CRUISER — TOYOTA</v>
      </c>
      <c r="D490" s="38">
        <v>50</v>
      </c>
      <c r="E490" s="39">
        <v>442124</v>
      </c>
      <c r="F490" s="28" t="s">
        <v>112</v>
      </c>
      <c r="G490" s="40" t="s">
        <v>133</v>
      </c>
    </row>
    <row r="491" spans="1:7" ht="18" customHeight="1">
      <c r="A491" s="36">
        <v>45939</v>
      </c>
      <c r="B491" s="37" t="s">
        <v>90</v>
      </c>
      <c r="C491" s="25" t="str">
        <f>IF(B491="","",IFERROR(VLOOKUP(B491,FLOTA!$A:$D,4,0)&amp;" — "&amp;VLOOKUP(B491,FLOTA!$A:$D,3,0),IFERROR(VLOOKUP(B491,'FLOTA TERCEROS'!$A:$D,4,0)&amp;" — "&amp;VLOOKUP(B491,'FLOTA TERCEROS'!$A:$D,3,0),"⚠ No encontrado")))</f>
        <v>RANGER — FORD</v>
      </c>
      <c r="D491" s="38">
        <v>60</v>
      </c>
      <c r="E491" s="39">
        <v>40496</v>
      </c>
      <c r="F491" s="28" t="s">
        <v>116</v>
      </c>
      <c r="G491" s="40" t="s">
        <v>139</v>
      </c>
    </row>
    <row r="492" spans="1:7" ht="18" customHeight="1">
      <c r="A492" s="36">
        <v>45939</v>
      </c>
      <c r="B492" s="37" t="s">
        <v>53</v>
      </c>
      <c r="C492" s="25" t="str">
        <f>IF(B492="","",IFERROR(VLOOKUP(B492,FLOTA!$A:$D,4,0)&amp;" — "&amp;VLOOKUP(B492,FLOTA!$A:$D,3,0),IFERROR(VLOOKUP(B492,'FLOTA TERCEROS'!$A:$D,4,0)&amp;" — "&amp;VLOOKUP(B492,'FLOTA TERCEROS'!$A:$D,3,0),"⚠ No encontrado")))</f>
        <v>AMAROK DC 2.0L TDI 180CV 4X4 — VOLKSWAGEN</v>
      </c>
      <c r="D492" s="38">
        <v>70</v>
      </c>
      <c r="E492" s="39">
        <v>284001</v>
      </c>
      <c r="F492" s="28" t="s">
        <v>121</v>
      </c>
      <c r="G492" s="40" t="s">
        <v>134</v>
      </c>
    </row>
    <row r="493" spans="1:7" ht="18" customHeight="1">
      <c r="A493" s="36">
        <v>45943</v>
      </c>
      <c r="B493" s="37" t="s">
        <v>58</v>
      </c>
      <c r="C493" s="25" t="str">
        <f>IF(B493="","",IFERROR(VLOOKUP(B493,FLOTA!$A:$D,4,0)&amp;" — "&amp;VLOOKUP(B493,FLOTA!$A:$D,3,0),IFERROR(VLOOKUP(B493,'FLOTA TERCEROS'!$A:$D,4,0)&amp;" — "&amp;VLOOKUP(B493,'FLOTA TERCEROS'!$A:$D,3,0),"⚠ No encontrado")))</f>
        <v>SPRINTER 515 CDIC — MERCEDES BENZ</v>
      </c>
      <c r="D493" s="38">
        <v>45</v>
      </c>
      <c r="E493" s="39">
        <v>214030</v>
      </c>
      <c r="F493" s="28" t="s">
        <v>111</v>
      </c>
      <c r="G493" s="40" t="s">
        <v>133</v>
      </c>
    </row>
    <row r="494" spans="1:7" ht="18" customHeight="1">
      <c r="A494" s="36">
        <v>45943</v>
      </c>
      <c r="B494" s="37" t="s">
        <v>32</v>
      </c>
      <c r="C494" s="25" t="str">
        <f>IF(B494="","",IFERROR(VLOOKUP(B494,FLOTA!$A:$D,4,0)&amp;" — "&amp;VLOOKUP(B494,FLOTA!$A:$D,3,0),IFERROR(VLOOKUP(B494,'FLOTA TERCEROS'!$A:$D,4,0)&amp;" — "&amp;VLOOKUP(B494,'FLOTA TERCEROS'!$A:$D,3,0),"⚠ No encontrado")))</f>
        <v>PRADO LAND CRUISER — TOYOTA</v>
      </c>
      <c r="D494" s="38">
        <v>50</v>
      </c>
      <c r="E494" s="39">
        <v>442546</v>
      </c>
      <c r="F494" s="28" t="s">
        <v>112</v>
      </c>
      <c r="G494" s="40" t="s">
        <v>133</v>
      </c>
    </row>
    <row r="495" spans="1:7" ht="18" customHeight="1">
      <c r="A495" s="36">
        <v>45943</v>
      </c>
      <c r="B495" s="37" t="s">
        <v>36</v>
      </c>
      <c r="C495" s="25" t="str">
        <f>IF(B495="","",IFERROR(VLOOKUP(B495,FLOTA!$A:$D,4,0)&amp;" — "&amp;VLOOKUP(B495,FLOTA!$A:$D,3,0),IFERROR(VLOOKUP(B495,'FLOTA TERCEROS'!$A:$D,4,0)&amp;" — "&amp;VLOOKUP(B495,'FLOTA TERCEROS'!$A:$D,3,0),"⚠ No encontrado")))</f>
        <v>HILUX 4X2 CD SRV 3.0 — TOYOTA</v>
      </c>
      <c r="D495" s="38">
        <v>60</v>
      </c>
      <c r="E495" s="39">
        <v>309551</v>
      </c>
      <c r="F495" s="28" t="s">
        <v>125</v>
      </c>
      <c r="G495" s="40" t="s">
        <v>133</v>
      </c>
    </row>
    <row r="496" spans="1:7" ht="18" customHeight="1">
      <c r="A496" s="36">
        <v>45945</v>
      </c>
      <c r="B496" s="37" t="s">
        <v>43</v>
      </c>
      <c r="C496" s="25" t="str">
        <f>IF(B496="","",IFERROR(VLOOKUP(B496,FLOTA!$A:$D,4,0)&amp;" — "&amp;VLOOKUP(B496,FLOTA!$A:$D,3,0),IFERROR(VLOOKUP(B496,'FLOTA TERCEROS'!$A:$D,4,0)&amp;" — "&amp;VLOOKUP(B496,'FLOTA TERCEROS'!$A:$D,3,0),"⚠ No encontrado")))</f>
        <v>AMAROK CS 2.0 140CV — VOLKSWAGEN</v>
      </c>
      <c r="D496" s="38">
        <v>80</v>
      </c>
      <c r="E496" s="39">
        <v>162741</v>
      </c>
      <c r="F496" s="28" t="s">
        <v>118</v>
      </c>
      <c r="G496" s="40" t="s">
        <v>128</v>
      </c>
    </row>
    <row r="497" spans="1:7" ht="18" customHeight="1">
      <c r="A497" s="36">
        <v>45945</v>
      </c>
      <c r="B497" s="37" t="s">
        <v>53</v>
      </c>
      <c r="C497" s="25" t="str">
        <f>IF(B497="","",IFERROR(VLOOKUP(B497,FLOTA!$A:$D,4,0)&amp;" — "&amp;VLOOKUP(B497,FLOTA!$A:$D,3,0),IFERROR(VLOOKUP(B497,'FLOTA TERCEROS'!$A:$D,4,0)&amp;" — "&amp;VLOOKUP(B497,'FLOTA TERCEROS'!$A:$D,3,0),"⚠ No encontrado")))</f>
        <v>AMAROK DC 2.0L TDI 180CV 4X4 — VOLKSWAGEN</v>
      </c>
      <c r="D497" s="38">
        <v>60</v>
      </c>
      <c r="E497" s="39">
        <v>284661</v>
      </c>
      <c r="F497" s="28" t="s">
        <v>121</v>
      </c>
      <c r="G497" s="40" t="s">
        <v>134</v>
      </c>
    </row>
    <row r="498" spans="1:7" ht="18" customHeight="1">
      <c r="A498" s="36">
        <v>45945</v>
      </c>
      <c r="B498" s="37" t="s">
        <v>66</v>
      </c>
      <c r="C498" s="25" t="str">
        <f>IF(B498="","",IFERROR(VLOOKUP(B498,FLOTA!$A:$D,4,0)&amp;" — "&amp;VLOOKUP(B498,FLOTA!$A:$D,3,0),IFERROR(VLOOKUP(B498,'FLOTA TERCEROS'!$A:$D,4,0)&amp;" — "&amp;VLOOKUP(B498,'FLOTA TERCEROS'!$A:$D,3,0),"⚠ No encontrado")))</f>
        <v>SPRINTER 515 CDIC — MERCEDES BENZ</v>
      </c>
      <c r="D498" s="38">
        <v>65</v>
      </c>
      <c r="E498" s="39">
        <v>137113</v>
      </c>
      <c r="F498" s="28" t="s">
        <v>113</v>
      </c>
      <c r="G498" s="40" t="s">
        <v>133</v>
      </c>
    </row>
    <row r="499" spans="1:7" ht="18" customHeight="1">
      <c r="A499" s="36">
        <v>45947</v>
      </c>
      <c r="B499" s="37" t="s">
        <v>36</v>
      </c>
      <c r="C499" s="25" t="str">
        <f>IF(B499="","",IFERROR(VLOOKUP(B499,FLOTA!$A:$D,4,0)&amp;" — "&amp;VLOOKUP(B499,FLOTA!$A:$D,3,0),IFERROR(VLOOKUP(B499,'FLOTA TERCEROS'!$A:$D,4,0)&amp;" — "&amp;VLOOKUP(B499,'FLOTA TERCEROS'!$A:$D,3,0),"⚠ No encontrado")))</f>
        <v>HILUX 4X2 CD SRV 3.0 — TOYOTA</v>
      </c>
      <c r="D499" s="38">
        <v>65</v>
      </c>
      <c r="E499" s="39">
        <v>310202</v>
      </c>
      <c r="F499" s="28" t="s">
        <v>108</v>
      </c>
      <c r="G499" s="40" t="s">
        <v>140</v>
      </c>
    </row>
    <row r="500" spans="1:7" ht="18" customHeight="1">
      <c r="A500" s="36">
        <v>45947</v>
      </c>
      <c r="B500" s="37" t="s">
        <v>32</v>
      </c>
      <c r="C500" s="25" t="str">
        <f>IF(B500="","",IFERROR(VLOOKUP(B500,FLOTA!$A:$D,4,0)&amp;" — "&amp;VLOOKUP(B500,FLOTA!$A:$D,3,0),IFERROR(VLOOKUP(B500,'FLOTA TERCEROS'!$A:$D,4,0)&amp;" — "&amp;VLOOKUP(B500,'FLOTA TERCEROS'!$A:$D,3,0),"⚠ No encontrado")))</f>
        <v>PRADO LAND CRUISER — TOYOTA</v>
      </c>
      <c r="D500" s="38">
        <v>70</v>
      </c>
      <c r="E500" s="39">
        <v>443010</v>
      </c>
      <c r="F500" s="28" t="s">
        <v>125</v>
      </c>
      <c r="G500" s="40" t="s">
        <v>133</v>
      </c>
    </row>
    <row r="501" spans="1:7" ht="18" customHeight="1">
      <c r="A501" s="36">
        <v>45947</v>
      </c>
      <c r="B501" s="37" t="s">
        <v>58</v>
      </c>
      <c r="C501" s="25" t="str">
        <f>IF(B501="","",IFERROR(VLOOKUP(B501,FLOTA!$A:$D,4,0)&amp;" — "&amp;VLOOKUP(B501,FLOTA!$A:$D,3,0),IFERROR(VLOOKUP(B501,'FLOTA TERCEROS'!$A:$D,4,0)&amp;" — "&amp;VLOOKUP(B501,'FLOTA TERCEROS'!$A:$D,3,0),"⚠ No encontrado")))</f>
        <v>SPRINTER 515 CDIC — MERCEDES BENZ</v>
      </c>
      <c r="D501" s="38">
        <v>65</v>
      </c>
      <c r="E501" s="39">
        <v>214481</v>
      </c>
      <c r="F501" s="28" t="s">
        <v>111</v>
      </c>
      <c r="G501" s="40" t="s">
        <v>133</v>
      </c>
    </row>
    <row r="502" spans="1:7" ht="18" customHeight="1">
      <c r="A502" s="36">
        <v>45948</v>
      </c>
      <c r="B502" s="37" t="s">
        <v>90</v>
      </c>
      <c r="C502" s="25" t="str">
        <f>IF(B502="","",IFERROR(VLOOKUP(B502,FLOTA!$A:$D,4,0)&amp;" — "&amp;VLOOKUP(B502,FLOTA!$A:$D,3,0),IFERROR(VLOOKUP(B502,'FLOTA TERCEROS'!$A:$D,4,0)&amp;" — "&amp;VLOOKUP(B502,'FLOTA TERCEROS'!$A:$D,3,0),"⚠ No encontrado")))</f>
        <v>RANGER — FORD</v>
      </c>
      <c r="D502" s="38">
        <v>70</v>
      </c>
      <c r="E502" s="39">
        <v>41088</v>
      </c>
      <c r="F502" s="28" t="s">
        <v>116</v>
      </c>
      <c r="G502" s="40" t="s">
        <v>139</v>
      </c>
    </row>
    <row r="503" spans="1:7" ht="18" customHeight="1">
      <c r="A503" s="36">
        <v>45948</v>
      </c>
      <c r="B503" s="37" t="s">
        <v>81</v>
      </c>
      <c r="C503" s="25" t="str">
        <f>IF(B503="","",IFERROR(VLOOKUP(B503,FLOTA!$A:$D,4,0)&amp;" — "&amp;VLOOKUP(B503,FLOTA!$A:$D,3,0),IFERROR(VLOOKUP(B503,'FLOTA TERCEROS'!$A:$D,4,0)&amp;" — "&amp;VLOOKUP(B503,'FLOTA TERCEROS'!$A:$D,3,0),"⚠ No encontrado")))</f>
        <v>RANGER — FORD</v>
      </c>
      <c r="D503" s="38">
        <v>80</v>
      </c>
      <c r="E503" s="39">
        <v>62857</v>
      </c>
      <c r="F503" s="28" t="s">
        <v>114</v>
      </c>
      <c r="G503" s="40" t="s">
        <v>138</v>
      </c>
    </row>
    <row r="504" spans="1:7" ht="18" customHeight="1">
      <c r="A504" s="36">
        <v>45950</v>
      </c>
      <c r="B504" s="37" t="s">
        <v>43</v>
      </c>
      <c r="C504" s="25" t="str">
        <f>IF(B504="","",IFERROR(VLOOKUP(B504,FLOTA!$A:$D,4,0)&amp;" — "&amp;VLOOKUP(B504,FLOTA!$A:$D,3,0),IFERROR(VLOOKUP(B504,'FLOTA TERCEROS'!$A:$D,4,0)&amp;" — "&amp;VLOOKUP(B504,'FLOTA TERCEROS'!$A:$D,3,0),"⚠ No encontrado")))</f>
        <v>AMAROK CS 2.0 140CV — VOLKSWAGEN</v>
      </c>
      <c r="D504" s="38">
        <v>80</v>
      </c>
      <c r="E504" s="39">
        <v>163526</v>
      </c>
      <c r="F504" s="28" t="s">
        <v>118</v>
      </c>
      <c r="G504" s="40" t="s">
        <v>128</v>
      </c>
    </row>
    <row r="505" spans="1:7" ht="18" customHeight="1">
      <c r="A505" s="36">
        <v>45950</v>
      </c>
      <c r="B505" s="37" t="s">
        <v>53</v>
      </c>
      <c r="C505" s="25" t="str">
        <f>IF(B505="","",IFERROR(VLOOKUP(B505,FLOTA!$A:$D,4,0)&amp;" — "&amp;VLOOKUP(B505,FLOTA!$A:$D,3,0),IFERROR(VLOOKUP(B505,'FLOTA TERCEROS'!$A:$D,4,0)&amp;" — "&amp;VLOOKUP(B505,'FLOTA TERCEROS'!$A:$D,3,0),"⚠ No encontrado")))</f>
        <v>AMAROK DC 2.0L TDI 180CV 4X4 — VOLKSWAGEN</v>
      </c>
      <c r="D505" s="38">
        <v>70</v>
      </c>
      <c r="E505" s="39">
        <v>285366</v>
      </c>
      <c r="F505" s="28" t="s">
        <v>121</v>
      </c>
      <c r="G505" s="40" t="s">
        <v>134</v>
      </c>
    </row>
    <row r="506" spans="1:7" ht="18" customHeight="1">
      <c r="A506" s="36">
        <v>45951</v>
      </c>
      <c r="B506" s="37" t="s">
        <v>36</v>
      </c>
      <c r="C506" s="25" t="str">
        <f>IF(B506="","",IFERROR(VLOOKUP(B506,FLOTA!$A:$D,4,0)&amp;" — "&amp;VLOOKUP(B506,FLOTA!$A:$D,3,0),IFERROR(VLOOKUP(B506,'FLOTA TERCEROS'!$A:$D,4,0)&amp;" — "&amp;VLOOKUP(B506,'FLOTA TERCEROS'!$A:$D,3,0),"⚠ No encontrado")))</f>
        <v>HILUX 4X2 CD SRV 3.0 — TOYOTA</v>
      </c>
      <c r="D506" s="38">
        <v>60</v>
      </c>
      <c r="E506" s="39">
        <v>310867</v>
      </c>
      <c r="F506" s="28" t="s">
        <v>108</v>
      </c>
      <c r="G506" s="40" t="s">
        <v>140</v>
      </c>
    </row>
    <row r="507" spans="1:7" ht="18" customHeight="1">
      <c r="A507" s="36">
        <v>45951</v>
      </c>
      <c r="B507" s="37" t="s">
        <v>32</v>
      </c>
      <c r="C507" s="25" t="str">
        <f>IF(B507="","",IFERROR(VLOOKUP(B507,FLOTA!$A:$D,4,0)&amp;" — "&amp;VLOOKUP(B507,FLOTA!$A:$D,3,0),IFERROR(VLOOKUP(B507,'FLOTA TERCEROS'!$A:$D,4,0)&amp;" — "&amp;VLOOKUP(B507,'FLOTA TERCEROS'!$A:$D,3,0),"⚠ No encontrado")))</f>
        <v>PRADO LAND CRUISER — TOYOTA</v>
      </c>
      <c r="D507" s="38">
        <v>55</v>
      </c>
      <c r="E507" s="39">
        <v>443413</v>
      </c>
      <c r="F507" s="28" t="s">
        <v>125</v>
      </c>
      <c r="G507" s="40" t="s">
        <v>133</v>
      </c>
    </row>
    <row r="508" spans="1:7" ht="18" customHeight="1">
      <c r="A508" s="36">
        <v>45951</v>
      </c>
      <c r="B508" s="37" t="s">
        <v>58</v>
      </c>
      <c r="C508" s="25" t="str">
        <f>IF(B508="","",IFERROR(VLOOKUP(B508,FLOTA!$A:$D,4,0)&amp;" — "&amp;VLOOKUP(B508,FLOTA!$A:$D,3,0),IFERROR(VLOOKUP(B508,'FLOTA TERCEROS'!$A:$D,4,0)&amp;" — "&amp;VLOOKUP(B508,'FLOTA TERCEROS'!$A:$D,3,0),"⚠ No encontrado")))</f>
        <v>SPRINTER 515 CDIC — MERCEDES BENZ</v>
      </c>
      <c r="D508" s="38">
        <v>55</v>
      </c>
      <c r="E508" s="39">
        <v>214788</v>
      </c>
      <c r="F508" s="28" t="s">
        <v>111</v>
      </c>
      <c r="G508" s="40" t="s">
        <v>133</v>
      </c>
    </row>
    <row r="509" spans="1:7" ht="18" customHeight="1">
      <c r="A509" s="36">
        <v>45954</v>
      </c>
      <c r="B509" s="37" t="s">
        <v>53</v>
      </c>
      <c r="C509" s="25" t="str">
        <f>IF(B509="","",IFERROR(VLOOKUP(B509,FLOTA!$A:$D,4,0)&amp;" — "&amp;VLOOKUP(B509,FLOTA!$A:$D,3,0),IFERROR(VLOOKUP(B509,'FLOTA TERCEROS'!$A:$D,4,0)&amp;" — "&amp;VLOOKUP(B509,'FLOTA TERCEROS'!$A:$D,3,0),"⚠ No encontrado")))</f>
        <v>AMAROK DC 2.0L TDI 180CV 4X4 — VOLKSWAGEN</v>
      </c>
      <c r="D509" s="38">
        <v>70</v>
      </c>
      <c r="E509" s="39">
        <v>286080</v>
      </c>
      <c r="F509" s="28" t="s">
        <v>121</v>
      </c>
      <c r="G509" s="40" t="s">
        <v>134</v>
      </c>
    </row>
    <row r="510" spans="1:7" ht="18" customHeight="1">
      <c r="A510" s="36">
        <v>45954</v>
      </c>
      <c r="B510" s="37" t="s">
        <v>90</v>
      </c>
      <c r="C510" s="25" t="str">
        <f>IF(B510="","",IFERROR(VLOOKUP(B510,FLOTA!$A:$D,4,0)&amp;" — "&amp;VLOOKUP(B510,FLOTA!$A:$D,3,0),IFERROR(VLOOKUP(B510,'FLOTA TERCEROS'!$A:$D,4,0)&amp;" — "&amp;VLOOKUP(B510,'FLOTA TERCEROS'!$A:$D,3,0),"⚠ No encontrado")))</f>
        <v>RANGER — FORD</v>
      </c>
      <c r="D510" s="38">
        <v>60</v>
      </c>
      <c r="E510" s="39">
        <v>41697</v>
      </c>
      <c r="F510" s="28" t="s">
        <v>116</v>
      </c>
      <c r="G510" s="40" t="s">
        <v>139</v>
      </c>
    </row>
    <row r="511" spans="1:7" ht="18" customHeight="1">
      <c r="A511" s="36">
        <v>45954</v>
      </c>
      <c r="B511" s="37" t="s">
        <v>32</v>
      </c>
      <c r="C511" s="25" t="str">
        <f>IF(B511="","",IFERROR(VLOOKUP(B511,FLOTA!$A:$D,4,0)&amp;" — "&amp;VLOOKUP(B511,FLOTA!$A:$D,3,0),IFERROR(VLOOKUP(B511,'FLOTA TERCEROS'!$A:$D,4,0)&amp;" — "&amp;VLOOKUP(B511,'FLOTA TERCEROS'!$A:$D,3,0),"⚠ No encontrado")))</f>
        <v>PRADO LAND CRUISER — TOYOTA</v>
      </c>
      <c r="D511" s="38">
        <v>70</v>
      </c>
      <c r="E511" s="39">
        <v>444007</v>
      </c>
      <c r="F511" s="28" t="s">
        <v>125</v>
      </c>
      <c r="G511" s="40" t="s">
        <v>133</v>
      </c>
    </row>
    <row r="512" spans="1:7" ht="18" customHeight="1">
      <c r="A512" s="36">
        <v>45957</v>
      </c>
      <c r="B512" s="37" t="s">
        <v>58</v>
      </c>
      <c r="C512" s="25" t="str">
        <f>IF(B512="","",IFERROR(VLOOKUP(B512,FLOTA!$A:$D,4,0)&amp;" — "&amp;VLOOKUP(B512,FLOTA!$A:$D,3,0),IFERROR(VLOOKUP(B512,'FLOTA TERCEROS'!$A:$D,4,0)&amp;" — "&amp;VLOOKUP(B512,'FLOTA TERCEROS'!$A:$D,3,0),"⚠ No encontrado")))</f>
        <v>SPRINTER 515 CDIC — MERCEDES BENZ</v>
      </c>
      <c r="D512" s="38">
        <v>60</v>
      </c>
      <c r="E512" s="39">
        <v>215233</v>
      </c>
      <c r="F512" s="28" t="s">
        <v>111</v>
      </c>
      <c r="G512" s="40" t="s">
        <v>133</v>
      </c>
    </row>
    <row r="513" spans="1:7" ht="18" customHeight="1">
      <c r="A513" s="36">
        <v>45957</v>
      </c>
      <c r="B513" s="37" t="s">
        <v>43</v>
      </c>
      <c r="C513" s="25" t="str">
        <f>IF(B513="","",IFERROR(VLOOKUP(B513,FLOTA!$A:$D,4,0)&amp;" — "&amp;VLOOKUP(B513,FLOTA!$A:$D,3,0),IFERROR(VLOOKUP(B513,'FLOTA TERCEROS'!$A:$D,4,0)&amp;" — "&amp;VLOOKUP(B513,'FLOTA TERCEROS'!$A:$D,3,0),"⚠ No encontrado")))</f>
        <v>AMAROK CS 2.0 140CV — VOLKSWAGEN</v>
      </c>
      <c r="D513" s="38">
        <v>70</v>
      </c>
      <c r="E513" s="39">
        <v>164386</v>
      </c>
      <c r="F513" s="28" t="s">
        <v>118</v>
      </c>
      <c r="G513" s="40" t="s">
        <v>128</v>
      </c>
    </row>
    <row r="514" spans="1:7" ht="18" customHeight="1">
      <c r="A514" s="36">
        <v>45958</v>
      </c>
      <c r="B514" s="37" t="s">
        <v>36</v>
      </c>
      <c r="C514" s="25" t="str">
        <f>IF(B514="","",IFERROR(VLOOKUP(B514,FLOTA!$A:$D,4,0)&amp;" — "&amp;VLOOKUP(B514,FLOTA!$A:$D,3,0),IFERROR(VLOOKUP(B514,'FLOTA TERCEROS'!$A:$D,4,0)&amp;" — "&amp;VLOOKUP(B514,'FLOTA TERCEROS'!$A:$D,3,0),"⚠ No encontrado")))</f>
        <v>HILUX 4X2 CD SRV 3.0 — TOYOTA</v>
      </c>
      <c r="D514" s="38">
        <v>50</v>
      </c>
      <c r="E514" s="39">
        <v>311546</v>
      </c>
      <c r="F514" s="28" t="s">
        <v>108</v>
      </c>
      <c r="G514" s="40" t="s">
        <v>140</v>
      </c>
    </row>
    <row r="515" spans="1:7" ht="18" customHeight="1">
      <c r="A515" s="36">
        <v>45958</v>
      </c>
      <c r="B515" s="37" t="s">
        <v>32</v>
      </c>
      <c r="C515" s="25" t="str">
        <f>IF(B515="","",IFERROR(VLOOKUP(B515,FLOTA!$A:$D,4,0)&amp;" — "&amp;VLOOKUP(B515,FLOTA!$A:$D,3,0),IFERROR(VLOOKUP(B515,'FLOTA TERCEROS'!$A:$D,4,0)&amp;" — "&amp;VLOOKUP(B515,'FLOTA TERCEROS'!$A:$D,3,0),"⚠ No encontrado")))</f>
        <v>PRADO LAND CRUISER — TOYOTA</v>
      </c>
      <c r="D515" s="38">
        <v>50</v>
      </c>
      <c r="E515" s="39">
        <v>444378</v>
      </c>
      <c r="F515" s="28" t="s">
        <v>125</v>
      </c>
      <c r="G515" s="40" t="s">
        <v>133</v>
      </c>
    </row>
    <row r="516" spans="1:7" ht="18" customHeight="1">
      <c r="A516" s="36">
        <v>45958</v>
      </c>
      <c r="B516" s="37" t="s">
        <v>24</v>
      </c>
      <c r="C516" s="25" t="str">
        <f>IF(B516="","",IFERROR(VLOOKUP(B516,FLOTA!$A:$D,4,0)&amp;" — "&amp;VLOOKUP(B516,FLOTA!$A:$D,3,0),IFERROR(VLOOKUP(B516,'FLOTA TERCEROS'!$A:$D,4,0)&amp;" — "&amp;VLOOKUP(B516,'FLOTA TERCEROS'!$A:$D,3,0),"⚠ No encontrado")))</f>
        <v>RANGER 2 CD 4X4 XLS 3.2L — FORD</v>
      </c>
      <c r="D516" s="38">
        <v>15</v>
      </c>
      <c r="E516" s="39"/>
      <c r="F516" s="28" t="s">
        <v>112</v>
      </c>
      <c r="G516" s="40" t="s">
        <v>133</v>
      </c>
    </row>
    <row r="517" spans="1:7" ht="18" customHeight="1">
      <c r="A517" s="36">
        <v>45959</v>
      </c>
      <c r="B517" s="37" t="s">
        <v>81</v>
      </c>
      <c r="C517" s="25" t="str">
        <f>IF(B517="","",IFERROR(VLOOKUP(B517,FLOTA!$A:$D,4,0)&amp;" — "&amp;VLOOKUP(B517,FLOTA!$A:$D,3,0),IFERROR(VLOOKUP(B517,'FLOTA TERCEROS'!$A:$D,4,0)&amp;" — "&amp;VLOOKUP(B517,'FLOTA TERCEROS'!$A:$D,3,0),"⚠ No encontrado")))</f>
        <v>RANGER — FORD</v>
      </c>
      <c r="D517" s="38">
        <v>70</v>
      </c>
      <c r="E517" s="39">
        <v>63451</v>
      </c>
      <c r="F517" s="28" t="s">
        <v>114</v>
      </c>
      <c r="G517" s="40" t="s">
        <v>138</v>
      </c>
    </row>
    <row r="518" spans="1:7" ht="18" customHeight="1">
      <c r="A518" s="36">
        <v>45959</v>
      </c>
      <c r="B518" s="37" t="s">
        <v>66</v>
      </c>
      <c r="C518" s="25" t="str">
        <f>IF(B518="","",IFERROR(VLOOKUP(B518,FLOTA!$A:$D,4,0)&amp;" — "&amp;VLOOKUP(B518,FLOTA!$A:$D,3,0),IFERROR(VLOOKUP(B518,'FLOTA TERCEROS'!$A:$D,4,0)&amp;" — "&amp;VLOOKUP(B518,'FLOTA TERCEROS'!$A:$D,3,0),"⚠ No encontrado")))</f>
        <v>SPRINTER 515 CDIC — MERCEDES BENZ</v>
      </c>
      <c r="D518" s="38">
        <v>60</v>
      </c>
      <c r="E518" s="39">
        <v>138147</v>
      </c>
      <c r="F518" s="28" t="s">
        <v>113</v>
      </c>
      <c r="G518" s="40" t="s">
        <v>133</v>
      </c>
    </row>
    <row r="519" spans="1:7" ht="18" customHeight="1">
      <c r="A519" s="36">
        <v>45959</v>
      </c>
      <c r="B519" s="37" t="s">
        <v>70</v>
      </c>
      <c r="C519" s="25" t="str">
        <f>IF(B519="","",IFERROR(VLOOKUP(B519,FLOTA!$A:$D,4,0)&amp;" — "&amp;VLOOKUP(B519,FLOTA!$A:$D,3,0),IFERROR(VLOOKUP(B519,'FLOTA TERCEROS'!$A:$D,4,0)&amp;" — "&amp;VLOOKUP(B519,'FLOTA TERCEROS'!$A:$D,3,0),"⚠ No encontrado")))</f>
        <v>TORO — FIAT</v>
      </c>
      <c r="D519" s="38">
        <v>40</v>
      </c>
      <c r="E519" s="39">
        <v>170087</v>
      </c>
      <c r="F519" s="28" t="s">
        <v>121</v>
      </c>
      <c r="G519" s="40" t="s">
        <v>134</v>
      </c>
    </row>
    <row r="520" spans="1:7" ht="18" customHeight="1">
      <c r="A520" s="36">
        <v>45959</v>
      </c>
      <c r="B520" s="37" t="s">
        <v>53</v>
      </c>
      <c r="C520" s="25" t="str">
        <f>IF(B520="","",IFERROR(VLOOKUP(B520,FLOTA!$A:$D,4,0)&amp;" — "&amp;VLOOKUP(B520,FLOTA!$A:$D,3,0),IFERROR(VLOOKUP(B520,'FLOTA TERCEROS'!$A:$D,4,0)&amp;" — "&amp;VLOOKUP(B520,'FLOTA TERCEROS'!$A:$D,3,0),"⚠ No encontrado")))</f>
        <v>AMAROK DC 2.0L TDI 180CV 4X4 — VOLKSWAGEN</v>
      </c>
      <c r="D520" s="38">
        <v>60</v>
      </c>
      <c r="E520" s="39">
        <v>286623</v>
      </c>
      <c r="F520" s="28" t="s">
        <v>126</v>
      </c>
      <c r="G520" s="40" t="s">
        <v>142</v>
      </c>
    </row>
    <row r="521" spans="1:7" ht="18" customHeight="1">
      <c r="A521" s="36">
        <v>45959</v>
      </c>
      <c r="B521" s="37" t="s">
        <v>32</v>
      </c>
      <c r="C521" s="25" t="str">
        <f>IF(B521="","",IFERROR(VLOOKUP(B521,FLOTA!$A:$D,4,0)&amp;" — "&amp;VLOOKUP(B521,FLOTA!$A:$D,3,0),IFERROR(VLOOKUP(B521,'FLOTA TERCEROS'!$A:$D,4,0)&amp;" — "&amp;VLOOKUP(B521,'FLOTA TERCEROS'!$A:$D,3,0),"⚠ No encontrado")))</f>
        <v>PRADO LAND CRUISER — TOYOTA</v>
      </c>
      <c r="D521" s="38">
        <v>50</v>
      </c>
      <c r="E521" s="39">
        <v>444726</v>
      </c>
      <c r="F521" s="28" t="s">
        <v>112</v>
      </c>
      <c r="G521" s="40" t="s">
        <v>133</v>
      </c>
    </row>
    <row r="522" spans="1:7" ht="18" customHeight="1">
      <c r="A522" s="36">
        <v>45959</v>
      </c>
      <c r="B522" s="37" t="s">
        <v>58</v>
      </c>
      <c r="C522" s="25" t="str">
        <f>IF(B522="","",IFERROR(VLOOKUP(B522,FLOTA!$A:$D,4,0)&amp;" — "&amp;VLOOKUP(B522,FLOTA!$A:$D,3,0),IFERROR(VLOOKUP(B522,'FLOTA TERCEROS'!$A:$D,4,0)&amp;" — "&amp;VLOOKUP(B522,'FLOTA TERCEROS'!$A:$D,3,0),"⚠ No encontrado")))</f>
        <v>SPRINTER 515 CDIC — MERCEDES BENZ</v>
      </c>
      <c r="D522" s="38">
        <v>50</v>
      </c>
      <c r="E522" s="39">
        <v>215620</v>
      </c>
      <c r="F522" s="28" t="s">
        <v>111</v>
      </c>
      <c r="G522" s="40" t="s">
        <v>133</v>
      </c>
    </row>
    <row r="523" spans="1:7" ht="18" customHeight="1">
      <c r="A523" s="36">
        <v>45960</v>
      </c>
      <c r="B523" s="37" t="s">
        <v>49</v>
      </c>
      <c r="C523" s="25" t="str">
        <f>IF(B523="","",IFERROR(VLOOKUP(B523,FLOTA!$A:$D,4,0)&amp;" — "&amp;VLOOKUP(B523,FLOTA!$A:$D,3,0),IFERROR(VLOOKUP(B523,'FLOTA TERCEROS'!$A:$D,4,0)&amp;" — "&amp;VLOOKUP(B523,'FLOTA TERCEROS'!$A:$D,3,0),"⚠ No encontrado")))</f>
        <v>AMAROK CD 2.0 4X4 180CV — VOLKSWAGEN</v>
      </c>
      <c r="D523" s="38">
        <v>50</v>
      </c>
      <c r="E523" s="39">
        <v>214435</v>
      </c>
      <c r="F523" s="28" t="s">
        <v>112</v>
      </c>
      <c r="G523" s="40" t="s">
        <v>133</v>
      </c>
    </row>
    <row r="524" spans="1:7" ht="18" customHeight="1">
      <c r="A524" s="36">
        <v>45961</v>
      </c>
      <c r="B524" s="37" t="s">
        <v>90</v>
      </c>
      <c r="C524" s="25" t="str">
        <f>IF(B524="","",IFERROR(VLOOKUP(B524,FLOTA!$A:$D,4,0)&amp;" — "&amp;VLOOKUP(B524,FLOTA!$A:$D,3,0),IFERROR(VLOOKUP(B524,'FLOTA TERCEROS'!$A:$D,4,0)&amp;" — "&amp;VLOOKUP(B524,'FLOTA TERCEROS'!$A:$D,3,0),"⚠ No encontrado")))</f>
        <v>RANGER — FORD</v>
      </c>
      <c r="D524" s="38">
        <v>60</v>
      </c>
      <c r="E524" s="39">
        <v>42352</v>
      </c>
      <c r="F524" s="28" t="s">
        <v>116</v>
      </c>
      <c r="G524" s="40" t="s">
        <v>139</v>
      </c>
    </row>
    <row r="525" spans="1:7" ht="18" customHeight="1">
      <c r="A525" s="36">
        <v>45961</v>
      </c>
      <c r="B525" s="37" t="s">
        <v>24</v>
      </c>
      <c r="C525" s="25" t="str">
        <f>IF(B525="","",IFERROR(VLOOKUP(B525,FLOTA!$A:$D,4,0)&amp;" — "&amp;VLOOKUP(B525,FLOTA!$A:$D,3,0),IFERROR(VLOOKUP(B525,'FLOTA TERCEROS'!$A:$D,4,0)&amp;" — "&amp;VLOOKUP(B525,'FLOTA TERCEROS'!$A:$D,3,0),"⚠ No encontrado")))</f>
        <v>RANGER 2 CD 4X4 XLS 3.2L — FORD</v>
      </c>
      <c r="D525" s="38">
        <v>60</v>
      </c>
      <c r="E525" s="39">
        <v>249792</v>
      </c>
      <c r="F525" s="28" t="s">
        <v>108</v>
      </c>
      <c r="G525" s="40" t="s">
        <v>140</v>
      </c>
    </row>
    <row r="526" spans="1:7" ht="18" customHeight="1">
      <c r="A526" s="36">
        <v>45962</v>
      </c>
      <c r="B526" s="37" t="s">
        <v>43</v>
      </c>
      <c r="C526" s="25" t="str">
        <f>IF(B526="","",IFERROR(VLOOKUP(B526,FLOTA!$A:$D,4,0)&amp;" — "&amp;VLOOKUP(B526,FLOTA!$A:$D,3,0),IFERROR(VLOOKUP(B526,'FLOTA TERCEROS'!$A:$D,4,0)&amp;" — "&amp;VLOOKUP(B526,'FLOTA TERCEROS'!$A:$D,3,0),"⚠ No encontrado")))</f>
        <v>AMAROK CS 2.0 140CV — VOLKSWAGEN</v>
      </c>
      <c r="D526" s="38">
        <v>70</v>
      </c>
      <c r="E526" s="39">
        <v>165120</v>
      </c>
      <c r="F526" s="28" t="s">
        <v>118</v>
      </c>
      <c r="G526" s="40" t="s">
        <v>128</v>
      </c>
    </row>
    <row r="527" spans="1:7" ht="18" customHeight="1">
      <c r="A527" s="36">
        <v>45964</v>
      </c>
      <c r="B527" s="37" t="s">
        <v>70</v>
      </c>
      <c r="C527" s="25" t="str">
        <f>IF(B527="","",IFERROR(VLOOKUP(B527,FLOTA!$A:$D,4,0)&amp;" — "&amp;VLOOKUP(B527,FLOTA!$A:$D,3,0),IFERROR(VLOOKUP(B527,'FLOTA TERCEROS'!$A:$D,4,0)&amp;" — "&amp;VLOOKUP(B527,'FLOTA TERCEROS'!$A:$D,3,0),"⚠ No encontrado")))</f>
        <v>TORO — FIAT</v>
      </c>
      <c r="D527" s="38">
        <v>50</v>
      </c>
      <c r="E527" s="39">
        <v>170963</v>
      </c>
      <c r="F527" s="28" t="s">
        <v>121</v>
      </c>
      <c r="G527" s="40" t="s">
        <v>134</v>
      </c>
    </row>
    <row r="528" spans="1:7" ht="18" customHeight="1">
      <c r="A528" s="36">
        <v>45964</v>
      </c>
      <c r="B528" s="37" t="s">
        <v>58</v>
      </c>
      <c r="C528" s="25" t="str">
        <f>IF(B528="","",IFERROR(VLOOKUP(B528,FLOTA!$A:$D,4,0)&amp;" — "&amp;VLOOKUP(B528,FLOTA!$A:$D,3,0),IFERROR(VLOOKUP(B528,'FLOTA TERCEROS'!$A:$D,4,0)&amp;" — "&amp;VLOOKUP(B528,'FLOTA TERCEROS'!$A:$D,3,0),"⚠ No encontrado")))</f>
        <v>SPRINTER 515 CDIC — MERCEDES BENZ</v>
      </c>
      <c r="D528" s="38">
        <v>50</v>
      </c>
      <c r="E528" s="39">
        <v>215999</v>
      </c>
      <c r="F528" s="28" t="s">
        <v>111</v>
      </c>
      <c r="G528" s="40" t="s">
        <v>133</v>
      </c>
    </row>
    <row r="529" spans="1:7" ht="18" customHeight="1">
      <c r="A529" s="36">
        <v>45964</v>
      </c>
      <c r="B529" s="37" t="s">
        <v>24</v>
      </c>
      <c r="C529" s="25" t="str">
        <f>IF(B529="","",IFERROR(VLOOKUP(B529,FLOTA!$A:$D,4,0)&amp;" — "&amp;VLOOKUP(B529,FLOTA!$A:$D,3,0),IFERROR(VLOOKUP(B529,'FLOTA TERCEROS'!$A:$D,4,0)&amp;" — "&amp;VLOOKUP(B529,'FLOTA TERCEROS'!$A:$D,3,0),"⚠ No encontrado")))</f>
        <v>RANGER 2 CD 4X4 XLS 3.2L — FORD</v>
      </c>
      <c r="D529" s="38">
        <v>50</v>
      </c>
      <c r="E529" s="39">
        <v>250084</v>
      </c>
      <c r="F529" s="28" t="s">
        <v>108</v>
      </c>
      <c r="G529" s="40" t="s">
        <v>140</v>
      </c>
    </row>
    <row r="530" spans="1:7" ht="18" customHeight="1">
      <c r="A530" s="36">
        <v>45965</v>
      </c>
      <c r="B530" s="37" t="s">
        <v>36</v>
      </c>
      <c r="C530" s="25" t="str">
        <f>IF(B530="","",IFERROR(VLOOKUP(B530,FLOTA!$A:$D,4,0)&amp;" — "&amp;VLOOKUP(B530,FLOTA!$A:$D,3,0),IFERROR(VLOOKUP(B530,'FLOTA TERCEROS'!$A:$D,4,0)&amp;" — "&amp;VLOOKUP(B530,'FLOTA TERCEROS'!$A:$D,3,0),"⚠ No encontrado")))</f>
        <v>HILUX 4X2 CD SRV 3.0 — TOYOTA</v>
      </c>
      <c r="D530" s="38">
        <v>60</v>
      </c>
      <c r="E530" s="39">
        <v>312215</v>
      </c>
      <c r="F530" s="28" t="s">
        <v>112</v>
      </c>
      <c r="G530" s="40" t="s">
        <v>143</v>
      </c>
    </row>
    <row r="531" spans="1:7" ht="18" customHeight="1">
      <c r="A531" s="36">
        <v>45966</v>
      </c>
      <c r="B531" s="37" t="s">
        <v>32</v>
      </c>
      <c r="C531" s="25" t="str">
        <f>IF(B531="","",IFERROR(VLOOKUP(B531,FLOTA!$A:$D,4,0)&amp;" — "&amp;VLOOKUP(B531,FLOTA!$A:$D,3,0),IFERROR(VLOOKUP(B531,'FLOTA TERCEROS'!$A:$D,4,0)&amp;" — "&amp;VLOOKUP(B531,'FLOTA TERCEROS'!$A:$D,3,0),"⚠ No encontrado")))</f>
        <v>PRADO LAND CRUISER — TOYOTA</v>
      </c>
      <c r="D531" s="38">
        <v>60</v>
      </c>
      <c r="E531" s="39">
        <v>445185</v>
      </c>
      <c r="F531" s="28" t="s">
        <v>112</v>
      </c>
      <c r="G531" s="40" t="s">
        <v>143</v>
      </c>
    </row>
    <row r="532" spans="1:7" ht="18" customHeight="1">
      <c r="A532" s="36">
        <v>45967</v>
      </c>
      <c r="B532" s="37" t="s">
        <v>66</v>
      </c>
      <c r="C532" s="25" t="str">
        <f>IF(B532="","",IFERROR(VLOOKUP(B532,FLOTA!$A:$D,4,0)&amp;" — "&amp;VLOOKUP(B532,FLOTA!$A:$D,3,0),IFERROR(VLOOKUP(B532,'FLOTA TERCEROS'!$A:$D,4,0)&amp;" — "&amp;VLOOKUP(B532,'FLOTA TERCEROS'!$A:$D,3,0),"⚠ No encontrado")))</f>
        <v>SPRINTER 515 CDIC — MERCEDES BENZ</v>
      </c>
      <c r="D532" s="38">
        <v>70</v>
      </c>
      <c r="E532" s="39">
        <v>138665</v>
      </c>
      <c r="F532" s="28" t="s">
        <v>113</v>
      </c>
      <c r="G532" s="40" t="s">
        <v>133</v>
      </c>
    </row>
    <row r="533" spans="1:7" ht="18" customHeight="1">
      <c r="A533" s="36">
        <v>45967</v>
      </c>
      <c r="B533" s="37" t="s">
        <v>43</v>
      </c>
      <c r="C533" s="25" t="str">
        <f>IF(B533="","",IFERROR(VLOOKUP(B533,FLOTA!$A:$D,4,0)&amp;" — "&amp;VLOOKUP(B533,FLOTA!$A:$D,3,0),IFERROR(VLOOKUP(B533,'FLOTA TERCEROS'!$A:$D,4,0)&amp;" — "&amp;VLOOKUP(B533,'FLOTA TERCEROS'!$A:$D,3,0),"⚠ No encontrado")))</f>
        <v>AMAROK CS 2.0 140CV — VOLKSWAGEN</v>
      </c>
      <c r="D533" s="38">
        <v>70</v>
      </c>
      <c r="E533" s="39">
        <v>165845</v>
      </c>
      <c r="F533" s="28" t="s">
        <v>118</v>
      </c>
      <c r="G533" s="40" t="s">
        <v>128</v>
      </c>
    </row>
    <row r="534" spans="1:7" ht="18" customHeight="1">
      <c r="A534" s="36">
        <v>45968</v>
      </c>
      <c r="B534" s="37" t="s">
        <v>70</v>
      </c>
      <c r="C534" s="25" t="str">
        <f>IF(B534="","",IFERROR(VLOOKUP(B534,FLOTA!$A:$D,4,0)&amp;" — "&amp;VLOOKUP(B534,FLOTA!$A:$D,3,0),IFERROR(VLOOKUP(B534,'FLOTA TERCEROS'!$A:$D,4,0)&amp;" — "&amp;VLOOKUP(B534,'FLOTA TERCEROS'!$A:$D,3,0),"⚠ No encontrado")))</f>
        <v>TORO — FIAT</v>
      </c>
      <c r="D534" s="38">
        <v>50</v>
      </c>
      <c r="E534" s="39"/>
      <c r="F534" s="28" t="s">
        <v>121</v>
      </c>
      <c r="G534" s="40" t="s">
        <v>134</v>
      </c>
    </row>
    <row r="535" spans="1:7" ht="18" customHeight="1">
      <c r="A535" s="36">
        <v>45968</v>
      </c>
      <c r="B535" s="37" t="s">
        <v>90</v>
      </c>
      <c r="C535" s="25" t="str">
        <f>IF(B535="","",IFERROR(VLOOKUP(B535,FLOTA!$A:$D,4,0)&amp;" — "&amp;VLOOKUP(B535,FLOTA!$A:$D,3,0),IFERROR(VLOOKUP(B535,'FLOTA TERCEROS'!$A:$D,4,0)&amp;" — "&amp;VLOOKUP(B535,'FLOTA TERCEROS'!$A:$D,3,0),"⚠ No encontrado")))</f>
        <v>RANGER — FORD</v>
      </c>
      <c r="D535" s="38">
        <v>60</v>
      </c>
      <c r="E535" s="39"/>
      <c r="F535" s="28" t="s">
        <v>116</v>
      </c>
      <c r="G535" s="40" t="s">
        <v>139</v>
      </c>
    </row>
    <row r="536" spans="1:7" ht="18" customHeight="1">
      <c r="A536" s="36">
        <v>45968</v>
      </c>
      <c r="B536" s="37" t="s">
        <v>58</v>
      </c>
      <c r="C536" s="25" t="str">
        <f>IF(B536="","",IFERROR(VLOOKUP(B536,FLOTA!$A:$D,4,0)&amp;" — "&amp;VLOOKUP(B536,FLOTA!$A:$D,3,0),IFERROR(VLOOKUP(B536,'FLOTA TERCEROS'!$A:$D,4,0)&amp;" — "&amp;VLOOKUP(B536,'FLOTA TERCEROS'!$A:$D,3,0),"⚠ No encontrado")))</f>
        <v>SPRINTER 515 CDIC — MERCEDES BENZ</v>
      </c>
      <c r="D536" s="38">
        <v>50</v>
      </c>
      <c r="E536" s="39">
        <v>216338</v>
      </c>
      <c r="F536" s="28" t="s">
        <v>111</v>
      </c>
      <c r="G536" s="40" t="s">
        <v>133</v>
      </c>
    </row>
    <row r="537" spans="1:7" ht="18" customHeight="1">
      <c r="A537" s="36">
        <v>45969</v>
      </c>
      <c r="B537" s="37" t="s">
        <v>36</v>
      </c>
      <c r="C537" s="25" t="str">
        <f>IF(B537="","",IFERROR(VLOOKUP(B537,FLOTA!$A:$D,4,0)&amp;" — "&amp;VLOOKUP(B537,FLOTA!$A:$D,3,0),IFERROR(VLOOKUP(B537,'FLOTA TERCEROS'!$A:$D,4,0)&amp;" — "&amp;VLOOKUP(B537,'FLOTA TERCEROS'!$A:$D,3,0),"⚠ No encontrado")))</f>
        <v>HILUX 4X2 CD SRV 3.0 — TOYOTA</v>
      </c>
      <c r="D537" s="38">
        <v>50</v>
      </c>
      <c r="E537" s="39">
        <v>312732</v>
      </c>
      <c r="F537" s="28" t="s">
        <v>118</v>
      </c>
      <c r="G537" s="40" t="s">
        <v>128</v>
      </c>
    </row>
    <row r="538" spans="1:7" ht="18" customHeight="1">
      <c r="A538" s="36">
        <v>45969</v>
      </c>
      <c r="B538" s="37" t="s">
        <v>24</v>
      </c>
      <c r="C538" s="25" t="str">
        <f>IF(B538="","",IFERROR(VLOOKUP(B538,FLOTA!$A:$D,4,0)&amp;" — "&amp;VLOOKUP(B538,FLOTA!$A:$D,3,0),IFERROR(VLOOKUP(B538,'FLOTA TERCEROS'!$A:$D,4,0)&amp;" — "&amp;VLOOKUP(B538,'FLOTA TERCEROS'!$A:$D,3,0),"⚠ No encontrado")))</f>
        <v>RANGER 2 CD 4X4 XLS 3.2L — FORD</v>
      </c>
      <c r="D538" s="38">
        <v>70</v>
      </c>
      <c r="E538" s="39">
        <v>250849</v>
      </c>
      <c r="F538" s="28" t="s">
        <v>112</v>
      </c>
      <c r="G538" s="40" t="s">
        <v>133</v>
      </c>
    </row>
    <row r="539" spans="1:7" ht="18" customHeight="1">
      <c r="A539" s="36">
        <v>45972</v>
      </c>
      <c r="B539" s="37" t="s">
        <v>32</v>
      </c>
      <c r="C539" s="25" t="str">
        <f>IF(B539="","",IFERROR(VLOOKUP(B539,FLOTA!$A:$D,4,0)&amp;" — "&amp;VLOOKUP(B539,FLOTA!$A:$D,3,0),IFERROR(VLOOKUP(B539,'FLOTA TERCEROS'!$A:$D,4,0)&amp;" — "&amp;VLOOKUP(B539,'FLOTA TERCEROS'!$A:$D,3,0),"⚠ No encontrado")))</f>
        <v>PRADO LAND CRUISER — TOYOTA</v>
      </c>
      <c r="D539" s="38">
        <v>60</v>
      </c>
      <c r="E539" s="39">
        <v>445705</v>
      </c>
      <c r="F539" s="28" t="s">
        <v>108</v>
      </c>
      <c r="G539" s="40" t="s">
        <v>140</v>
      </c>
    </row>
    <row r="540" spans="1:7" ht="18" customHeight="1">
      <c r="A540" s="36">
        <v>45972</v>
      </c>
      <c r="B540" s="37" t="s">
        <v>36</v>
      </c>
      <c r="C540" s="25" t="str">
        <f>IF(B540="","",IFERROR(VLOOKUP(B540,FLOTA!$A:$D,4,0)&amp;" — "&amp;VLOOKUP(B540,FLOTA!$A:$D,3,0),IFERROR(VLOOKUP(B540,'FLOTA TERCEROS'!$A:$D,4,0)&amp;" — "&amp;VLOOKUP(B540,'FLOTA TERCEROS'!$A:$D,3,0),"⚠ No encontrado")))</f>
        <v>HILUX 4X2 CD SRV 3.0 — TOYOTA</v>
      </c>
      <c r="D540" s="38">
        <v>70</v>
      </c>
      <c r="E540" s="39">
        <v>313417</v>
      </c>
      <c r="F540" s="28" t="s">
        <v>112</v>
      </c>
      <c r="G540" s="40" t="s">
        <v>143</v>
      </c>
    </row>
    <row r="541" spans="1:7" ht="18" customHeight="1">
      <c r="A541" s="36">
        <v>45974</v>
      </c>
      <c r="B541" s="37" t="s">
        <v>70</v>
      </c>
      <c r="C541" s="25" t="str">
        <f>IF(B541="","",IFERROR(VLOOKUP(B541,FLOTA!$A:$D,4,0)&amp;" — "&amp;VLOOKUP(B541,FLOTA!$A:$D,3,0),IFERROR(VLOOKUP(B541,'FLOTA TERCEROS'!$A:$D,4,0)&amp;" — "&amp;VLOOKUP(B541,'FLOTA TERCEROS'!$A:$D,3,0),"⚠ No encontrado")))</f>
        <v>TORO — FIAT</v>
      </c>
      <c r="D541" s="38">
        <v>50</v>
      </c>
      <c r="E541" s="39">
        <v>171831</v>
      </c>
      <c r="F541" s="28" t="s">
        <v>121</v>
      </c>
      <c r="G541" s="40" t="s">
        <v>134</v>
      </c>
    </row>
    <row r="542" spans="1:7" ht="18" customHeight="1">
      <c r="A542" s="36">
        <v>45974</v>
      </c>
      <c r="B542" s="37" t="s">
        <v>58</v>
      </c>
      <c r="C542" s="25" t="str">
        <f>IF(B542="","",IFERROR(VLOOKUP(B542,FLOTA!$A:$D,4,0)&amp;" — "&amp;VLOOKUP(B542,FLOTA!$A:$D,3,0),IFERROR(VLOOKUP(B542,'FLOTA TERCEROS'!$A:$D,4,0)&amp;" — "&amp;VLOOKUP(B542,'FLOTA TERCEROS'!$A:$D,3,0),"⚠ No encontrado")))</f>
        <v>SPRINTER 515 CDIC — MERCEDES BENZ</v>
      </c>
      <c r="D542" s="38">
        <v>60</v>
      </c>
      <c r="E542" s="39">
        <v>216743</v>
      </c>
      <c r="F542" s="28" t="s">
        <v>111</v>
      </c>
      <c r="G542" s="40" t="s">
        <v>133</v>
      </c>
    </row>
    <row r="543" spans="1:7" ht="18" customHeight="1">
      <c r="A543" s="36">
        <v>45974</v>
      </c>
      <c r="B543" s="37" t="s">
        <v>81</v>
      </c>
      <c r="C543" s="25" t="str">
        <f>IF(B543="","",IFERROR(VLOOKUP(B543,FLOTA!$A:$D,4,0)&amp;" — "&amp;VLOOKUP(B543,FLOTA!$A:$D,3,0),IFERROR(VLOOKUP(B543,'FLOTA TERCEROS'!$A:$D,4,0)&amp;" — "&amp;VLOOKUP(B543,'FLOTA TERCEROS'!$A:$D,3,0),"⚠ No encontrado")))</f>
        <v>RANGER — FORD</v>
      </c>
      <c r="D543" s="38">
        <v>70</v>
      </c>
      <c r="E543" s="39">
        <v>64207</v>
      </c>
      <c r="F543" s="28" t="s">
        <v>114</v>
      </c>
      <c r="G543" s="40" t="s">
        <v>138</v>
      </c>
    </row>
    <row r="544" spans="1:7" ht="18" customHeight="1">
      <c r="A544" s="36">
        <v>45974</v>
      </c>
      <c r="B544" s="37" t="s">
        <v>43</v>
      </c>
      <c r="C544" s="25" t="str">
        <f>IF(B544="","",IFERROR(VLOOKUP(B544,FLOTA!$A:$D,4,0)&amp;" — "&amp;VLOOKUP(B544,FLOTA!$A:$D,3,0),IFERROR(VLOOKUP(B544,'FLOTA TERCEROS'!$A:$D,4,0)&amp;" — "&amp;VLOOKUP(B544,'FLOTA TERCEROS'!$A:$D,3,0),"⚠ No encontrado")))</f>
        <v>AMAROK CS 2.0 140CV — VOLKSWAGEN</v>
      </c>
      <c r="D544" s="38">
        <v>70</v>
      </c>
      <c r="E544" s="39">
        <v>166784</v>
      </c>
      <c r="F544" s="28" t="s">
        <v>118</v>
      </c>
      <c r="G544" s="40" t="s">
        <v>128</v>
      </c>
    </row>
    <row r="545" spans="1:7" ht="18" customHeight="1">
      <c r="A545" s="36">
        <v>45974</v>
      </c>
      <c r="B545" s="37" t="s">
        <v>53</v>
      </c>
      <c r="C545" s="25" t="str">
        <f>IF(B545="","",IFERROR(VLOOKUP(B545,FLOTA!$A:$D,4,0)&amp;" — "&amp;VLOOKUP(B545,FLOTA!$A:$D,3,0),IFERROR(VLOOKUP(B545,'FLOTA TERCEROS'!$A:$D,4,0)&amp;" — "&amp;VLOOKUP(B545,'FLOTA TERCEROS'!$A:$D,3,0),"⚠ No encontrado")))</f>
        <v>AMAROK DC 2.0L TDI 180CV 4X4 — VOLKSWAGEN</v>
      </c>
      <c r="D545" s="38">
        <v>70</v>
      </c>
      <c r="E545" s="39">
        <v>287277</v>
      </c>
      <c r="F545" s="28" t="s">
        <v>126</v>
      </c>
      <c r="G545" s="40" t="s">
        <v>142</v>
      </c>
    </row>
    <row r="546" spans="1:7" ht="18" customHeight="1">
      <c r="A546" s="36">
        <v>45975</v>
      </c>
      <c r="B546" s="37" t="s">
        <v>24</v>
      </c>
      <c r="C546" s="25" t="str">
        <f>IF(B546="","",IFERROR(VLOOKUP(B546,FLOTA!$A:$D,4,0)&amp;" — "&amp;VLOOKUP(B546,FLOTA!$A:$D,3,0),IFERROR(VLOOKUP(B546,'FLOTA TERCEROS'!$A:$D,4,0)&amp;" — "&amp;VLOOKUP(B546,'FLOTA TERCEROS'!$A:$D,3,0),"⚠ No encontrado")))</f>
        <v>RANGER 2 CD 4X4 XLS 3.2L — FORD</v>
      </c>
      <c r="D546" s="38">
        <v>40</v>
      </c>
      <c r="E546" s="39">
        <v>251193</v>
      </c>
      <c r="F546" s="28" t="s">
        <v>108</v>
      </c>
      <c r="G546" s="40" t="s">
        <v>140</v>
      </c>
    </row>
    <row r="547" spans="1:7" ht="18" customHeight="1">
      <c r="A547" s="36">
        <v>45975</v>
      </c>
      <c r="B547" s="37" t="s">
        <v>32</v>
      </c>
      <c r="C547" s="25" t="str">
        <f>IF(B547="","",IFERROR(VLOOKUP(B547,FLOTA!$A:$D,4,0)&amp;" — "&amp;VLOOKUP(B547,FLOTA!$A:$D,3,0),IFERROR(VLOOKUP(B547,'FLOTA TERCEROS'!$A:$D,4,0)&amp;" — "&amp;VLOOKUP(B547,'FLOTA TERCEROS'!$A:$D,3,0),"⚠ No encontrado")))</f>
        <v>PRADO LAND CRUISER — TOYOTA</v>
      </c>
      <c r="D547" s="38">
        <v>60</v>
      </c>
      <c r="E547" s="39">
        <v>446243</v>
      </c>
      <c r="F547" s="28" t="s">
        <v>112</v>
      </c>
      <c r="G547" s="40" t="s">
        <v>143</v>
      </c>
    </row>
    <row r="548" spans="1:7" ht="18" customHeight="1">
      <c r="A548" s="36">
        <v>45976</v>
      </c>
      <c r="B548" s="37" t="s">
        <v>90</v>
      </c>
      <c r="C548" s="25" t="str">
        <f>IF(B548="","",IFERROR(VLOOKUP(B548,FLOTA!$A:$D,4,0)&amp;" — "&amp;VLOOKUP(B548,FLOTA!$A:$D,3,0),IFERROR(VLOOKUP(B548,'FLOTA TERCEROS'!$A:$D,4,0)&amp;" — "&amp;VLOOKUP(B548,'FLOTA TERCEROS'!$A:$D,3,0),"⚠ No encontrado")))</f>
        <v>RANGER — FORD</v>
      </c>
      <c r="D548" s="38">
        <v>60</v>
      </c>
      <c r="E548" s="39">
        <v>43450</v>
      </c>
      <c r="F548" s="28" t="s">
        <v>116</v>
      </c>
      <c r="G548" s="40" t="s">
        <v>139</v>
      </c>
    </row>
    <row r="549" spans="1:7" ht="18" customHeight="1">
      <c r="A549" s="36">
        <v>45976</v>
      </c>
      <c r="B549" s="37" t="s">
        <v>36</v>
      </c>
      <c r="C549" s="25" t="str">
        <f>IF(B549="","",IFERROR(VLOOKUP(B549,FLOTA!$A:$D,4,0)&amp;" — "&amp;VLOOKUP(B549,FLOTA!$A:$D,3,0),IFERROR(VLOOKUP(B549,'FLOTA TERCEROS'!$A:$D,4,0)&amp;" — "&amp;VLOOKUP(B549,'FLOTA TERCEROS'!$A:$D,3,0),"⚠ No encontrado")))</f>
        <v>HILUX 4X2 CD SRV 3.0 — TOYOTA</v>
      </c>
      <c r="D549" s="38">
        <v>55</v>
      </c>
      <c r="E549" s="39">
        <v>314061</v>
      </c>
      <c r="F549" s="28" t="s">
        <v>112</v>
      </c>
      <c r="G549" s="40" t="s">
        <v>143</v>
      </c>
    </row>
    <row r="550" spans="1:7" ht="18" customHeight="1">
      <c r="A550" s="36">
        <v>45978</v>
      </c>
      <c r="B550" s="37" t="s">
        <v>43</v>
      </c>
      <c r="C550" s="25" t="str">
        <f>IF(B550="","",IFERROR(VLOOKUP(B550,FLOTA!$A:$D,4,0)&amp;" — "&amp;VLOOKUP(B550,FLOTA!$A:$D,3,0),IFERROR(VLOOKUP(B550,'FLOTA TERCEROS'!$A:$D,4,0)&amp;" — "&amp;VLOOKUP(B550,'FLOTA TERCEROS'!$A:$D,3,0),"⚠ No encontrado")))</f>
        <v>AMAROK CS 2.0 140CV — VOLKSWAGEN</v>
      </c>
      <c r="D550" s="38">
        <v>65</v>
      </c>
      <c r="E550" s="39">
        <v>167481</v>
      </c>
      <c r="F550" s="28" t="s">
        <v>118</v>
      </c>
      <c r="G550" s="40" t="s">
        <v>128</v>
      </c>
    </row>
    <row r="551" spans="1:7" ht="18" customHeight="1">
      <c r="A551" s="36">
        <v>45979</v>
      </c>
      <c r="B551" s="37" t="s">
        <v>58</v>
      </c>
      <c r="C551" s="25" t="str">
        <f>IF(B551="","",IFERROR(VLOOKUP(B551,FLOTA!$A:$D,4,0)&amp;" — "&amp;VLOOKUP(B551,FLOTA!$A:$D,3,0),IFERROR(VLOOKUP(B551,'FLOTA TERCEROS'!$A:$D,4,0)&amp;" — "&amp;VLOOKUP(B551,'FLOTA TERCEROS'!$A:$D,3,0),"⚠ No encontrado")))</f>
        <v>SPRINTER 515 CDIC — MERCEDES BENZ</v>
      </c>
      <c r="D551" s="38">
        <v>50</v>
      </c>
      <c r="E551" s="39">
        <v>217124</v>
      </c>
      <c r="F551" s="28" t="s">
        <v>111</v>
      </c>
      <c r="G551" s="40" t="s">
        <v>133</v>
      </c>
    </row>
    <row r="552" spans="1:7" ht="18" customHeight="1">
      <c r="A552" s="36">
        <v>45979</v>
      </c>
      <c r="B552" s="37" t="s">
        <v>49</v>
      </c>
      <c r="C552" s="25" t="str">
        <f>IF(B552="","",IFERROR(VLOOKUP(B552,FLOTA!$A:$D,4,0)&amp;" — "&amp;VLOOKUP(B552,FLOTA!$A:$D,3,0),IFERROR(VLOOKUP(B552,'FLOTA TERCEROS'!$A:$D,4,0)&amp;" — "&amp;VLOOKUP(B552,'FLOTA TERCEROS'!$A:$D,3,0),"⚠ No encontrado")))</f>
        <v>AMAROK CD 2.0 4X4 180CV — VOLKSWAGEN</v>
      </c>
      <c r="D552" s="38">
        <v>60</v>
      </c>
      <c r="E552" s="39">
        <v>215006</v>
      </c>
      <c r="F552" s="28" t="s">
        <v>112</v>
      </c>
      <c r="G552" s="40" t="s">
        <v>143</v>
      </c>
    </row>
    <row r="553" spans="1:7" ht="18" customHeight="1">
      <c r="A553" s="36">
        <v>45980</v>
      </c>
      <c r="B553" s="37" t="s">
        <v>32</v>
      </c>
      <c r="C553" s="25" t="str">
        <f>IF(B553="","",IFERROR(VLOOKUP(B553,FLOTA!$A:$D,4,0)&amp;" — "&amp;VLOOKUP(B553,FLOTA!$A:$D,3,0),IFERROR(VLOOKUP(B553,'FLOTA TERCEROS'!$A:$D,4,0)&amp;" — "&amp;VLOOKUP(B553,'FLOTA TERCEROS'!$A:$D,3,0),"⚠ No encontrado")))</f>
        <v>PRADO LAND CRUISER — TOYOTA</v>
      </c>
      <c r="D553" s="38">
        <v>75</v>
      </c>
      <c r="E553" s="39">
        <v>446821</v>
      </c>
      <c r="F553" s="28" t="s">
        <v>112</v>
      </c>
      <c r="G553" s="40" t="s">
        <v>143</v>
      </c>
    </row>
    <row r="554" spans="1:7" ht="18" customHeight="1">
      <c r="A554" s="36">
        <v>45981</v>
      </c>
      <c r="B554" s="37" t="s">
        <v>70</v>
      </c>
      <c r="C554" s="25" t="str">
        <f>IF(B554="","",IFERROR(VLOOKUP(B554,FLOTA!$A:$D,4,0)&amp;" — "&amp;VLOOKUP(B554,FLOTA!$A:$D,3,0),IFERROR(VLOOKUP(B554,'FLOTA TERCEROS'!$A:$D,4,0)&amp;" — "&amp;VLOOKUP(B554,'FLOTA TERCEROS'!$A:$D,3,0),"⚠ No encontrado")))</f>
        <v>TORO — FIAT</v>
      </c>
      <c r="D554" s="38">
        <v>60</v>
      </c>
      <c r="E554" s="39">
        <v>172449</v>
      </c>
      <c r="F554" s="28" t="s">
        <v>121</v>
      </c>
      <c r="G554" s="40" t="s">
        <v>134</v>
      </c>
    </row>
    <row r="555" spans="1:7" ht="18" customHeight="1">
      <c r="A555" s="36">
        <v>45981</v>
      </c>
      <c r="B555" s="37" t="s">
        <v>36</v>
      </c>
      <c r="C555" s="25" t="str">
        <f>IF(B555="","",IFERROR(VLOOKUP(B555,FLOTA!$A:$D,4,0)&amp;" — "&amp;VLOOKUP(B555,FLOTA!$A:$D,3,0),IFERROR(VLOOKUP(B555,'FLOTA TERCEROS'!$A:$D,4,0)&amp;" — "&amp;VLOOKUP(B555,'FLOTA TERCEROS'!$A:$D,3,0),"⚠ No encontrado")))</f>
        <v>HILUX 4X2 CD SRV 3.0 — TOYOTA</v>
      </c>
      <c r="D555" s="38">
        <v>80</v>
      </c>
      <c r="E555" s="39">
        <v>314685</v>
      </c>
      <c r="F555" s="28" t="s">
        <v>112</v>
      </c>
      <c r="G555" s="40" t="s">
        <v>143</v>
      </c>
    </row>
    <row r="556" spans="1:7" ht="18" customHeight="1">
      <c r="A556" s="36">
        <v>45981</v>
      </c>
      <c r="B556" s="37" t="s">
        <v>66</v>
      </c>
      <c r="C556" s="25" t="str">
        <f>IF(B556="","",IFERROR(VLOOKUP(B556,FLOTA!$A:$D,4,0)&amp;" — "&amp;VLOOKUP(B556,FLOTA!$A:$D,3,0),IFERROR(VLOOKUP(B556,'FLOTA TERCEROS'!$A:$D,4,0)&amp;" — "&amp;VLOOKUP(B556,'FLOTA TERCEROS'!$A:$D,3,0),"⚠ No encontrado")))</f>
        <v>SPRINTER 515 CDIC — MERCEDES BENZ</v>
      </c>
      <c r="D556" s="38">
        <v>70</v>
      </c>
      <c r="E556" s="39">
        <v>139210</v>
      </c>
      <c r="F556" s="28" t="s">
        <v>113</v>
      </c>
      <c r="G556" s="40" t="s">
        <v>133</v>
      </c>
    </row>
    <row r="557" spans="1:7" ht="18" customHeight="1">
      <c r="A557" s="36">
        <v>45982</v>
      </c>
      <c r="B557" s="37" t="s">
        <v>53</v>
      </c>
      <c r="C557" s="25" t="str">
        <f>IF(B557="","",IFERROR(VLOOKUP(B557,FLOTA!$A:$D,4,0)&amp;" — "&amp;VLOOKUP(B557,FLOTA!$A:$D,3,0),IFERROR(VLOOKUP(B557,'FLOTA TERCEROS'!$A:$D,4,0)&amp;" — "&amp;VLOOKUP(B557,'FLOTA TERCEROS'!$A:$D,3,0),"⚠ No encontrado")))</f>
        <v>AMAROK DC 2.0L TDI 180CV 4X4 — VOLKSWAGEN</v>
      </c>
      <c r="D557" s="38">
        <v>35</v>
      </c>
      <c r="E557" s="39">
        <v>287576</v>
      </c>
      <c r="F557" s="28" t="s">
        <v>126</v>
      </c>
      <c r="G557" s="40" t="s">
        <v>142</v>
      </c>
    </row>
    <row r="558" spans="1:7" ht="18" customHeight="1">
      <c r="A558" s="36">
        <v>45983</v>
      </c>
      <c r="B558" s="37" t="s">
        <v>90</v>
      </c>
      <c r="C558" s="25" t="str">
        <f>IF(B558="","",IFERROR(VLOOKUP(B558,FLOTA!$A:$D,4,0)&amp;" — "&amp;VLOOKUP(B558,FLOTA!$A:$D,3,0),IFERROR(VLOOKUP(B558,'FLOTA TERCEROS'!$A:$D,4,0)&amp;" — "&amp;VLOOKUP(B558,'FLOTA TERCEROS'!$A:$D,3,0),"⚠ No encontrado")))</f>
        <v>RANGER — FORD</v>
      </c>
      <c r="D558" s="38">
        <v>60</v>
      </c>
      <c r="E558" s="39">
        <v>43983</v>
      </c>
      <c r="F558" s="28" t="s">
        <v>116</v>
      </c>
      <c r="G558" s="40" t="s">
        <v>139</v>
      </c>
    </row>
    <row r="559" spans="1:7" ht="18" customHeight="1">
      <c r="A559" s="36">
        <v>45983</v>
      </c>
      <c r="B559" s="37" t="s">
        <v>43</v>
      </c>
      <c r="C559" s="25" t="str">
        <f>IF(B559="","",IFERROR(VLOOKUP(B559,FLOTA!$A:$D,4,0)&amp;" — "&amp;VLOOKUP(B559,FLOTA!$A:$D,3,0),IFERROR(VLOOKUP(B559,'FLOTA TERCEROS'!$A:$D,4,0)&amp;" — "&amp;VLOOKUP(B559,'FLOTA TERCEROS'!$A:$D,3,0),"⚠ No encontrado")))</f>
        <v>AMAROK CS 2.0 140CV — VOLKSWAGEN</v>
      </c>
      <c r="D559" s="38">
        <v>75</v>
      </c>
      <c r="E559" s="39">
        <v>168240</v>
      </c>
      <c r="F559" s="28" t="s">
        <v>118</v>
      </c>
      <c r="G559" s="40" t="s">
        <v>128</v>
      </c>
    </row>
    <row r="560" spans="1:7" ht="18" customHeight="1">
      <c r="A560" s="36">
        <v>45986</v>
      </c>
      <c r="B560" s="37" t="s">
        <v>24</v>
      </c>
      <c r="C560" s="25" t="str">
        <f>IF(B560="","",IFERROR(VLOOKUP(B560,FLOTA!$A:$D,4,0)&amp;" — "&amp;VLOOKUP(B560,FLOTA!$A:$D,3,0),IFERROR(VLOOKUP(B560,'FLOTA TERCEROS'!$A:$D,4,0)&amp;" — "&amp;VLOOKUP(B560,'FLOTA TERCEROS'!$A:$D,3,0),"⚠ No encontrado")))</f>
        <v>RANGER 2 CD 4X4 XLS 3.2L — FORD</v>
      </c>
      <c r="D560" s="38">
        <v>80</v>
      </c>
      <c r="E560" s="39">
        <v>252235</v>
      </c>
      <c r="F560" s="28" t="s">
        <v>108</v>
      </c>
      <c r="G560" s="40" t="s">
        <v>140</v>
      </c>
    </row>
    <row r="561" spans="1:7" ht="18" customHeight="1">
      <c r="A561" s="36">
        <v>45986</v>
      </c>
      <c r="B561" s="37" t="s">
        <v>32</v>
      </c>
      <c r="C561" s="25" t="str">
        <f>IF(B561="","",IFERROR(VLOOKUP(B561,FLOTA!$A:$D,4,0)&amp;" — "&amp;VLOOKUP(B561,FLOTA!$A:$D,3,0),IFERROR(VLOOKUP(B561,'FLOTA TERCEROS'!$A:$D,4,0)&amp;" — "&amp;VLOOKUP(B561,'FLOTA TERCEROS'!$A:$D,3,0),"⚠ No encontrado")))</f>
        <v>PRADO LAND CRUISER — TOYOTA</v>
      </c>
      <c r="D561" s="38">
        <v>70</v>
      </c>
      <c r="E561" s="39">
        <v>447353</v>
      </c>
      <c r="F561" s="28" t="s">
        <v>112</v>
      </c>
      <c r="G561" s="40" t="s">
        <v>143</v>
      </c>
    </row>
    <row r="562" spans="1:7" ht="18" customHeight="1">
      <c r="A562" s="36">
        <v>45986</v>
      </c>
      <c r="B562" s="37" t="s">
        <v>49</v>
      </c>
      <c r="C562" s="25" t="str">
        <f>IF(B562="","",IFERROR(VLOOKUP(B562,FLOTA!$A:$D,4,0)&amp;" — "&amp;VLOOKUP(B562,FLOTA!$A:$D,3,0),IFERROR(VLOOKUP(B562,'FLOTA TERCEROS'!$A:$D,4,0)&amp;" — "&amp;VLOOKUP(B562,'FLOTA TERCEROS'!$A:$D,3,0),"⚠ No encontrado")))</f>
        <v>AMAROK CD 2.0 4X4 180CV — VOLKSWAGEN</v>
      </c>
      <c r="D562" s="38">
        <v>60</v>
      </c>
      <c r="E562" s="39">
        <v>215675</v>
      </c>
      <c r="F562" s="28" t="s">
        <v>112</v>
      </c>
      <c r="G562" s="40" t="s">
        <v>143</v>
      </c>
    </row>
    <row r="563" spans="1:7" ht="18" customHeight="1">
      <c r="A563" s="36">
        <v>45987</v>
      </c>
      <c r="B563" s="37" t="s">
        <v>66</v>
      </c>
      <c r="C563" s="25" t="str">
        <f>IF(B563="","",IFERROR(VLOOKUP(B563,FLOTA!$A:$D,4,0)&amp;" — "&amp;VLOOKUP(B563,FLOTA!$A:$D,3,0),IFERROR(VLOOKUP(B563,'FLOTA TERCEROS'!$A:$D,4,0)&amp;" — "&amp;VLOOKUP(B563,'FLOTA TERCEROS'!$A:$D,3,0),"⚠ No encontrado")))</f>
        <v>SPRINTER 515 CDIC — MERCEDES BENZ</v>
      </c>
      <c r="D563" s="38">
        <v>55</v>
      </c>
      <c r="E563" s="39">
        <v>139655</v>
      </c>
      <c r="F563" s="28" t="s">
        <v>113</v>
      </c>
      <c r="G563" s="40" t="s">
        <v>133</v>
      </c>
    </row>
    <row r="564" spans="1:7" ht="18" customHeight="1">
      <c r="A564" s="36">
        <v>45987</v>
      </c>
      <c r="B564" s="37" t="s">
        <v>58</v>
      </c>
      <c r="C564" s="25" t="str">
        <f>IF(B564="","",IFERROR(VLOOKUP(B564,FLOTA!$A:$D,4,0)&amp;" — "&amp;VLOOKUP(B564,FLOTA!$A:$D,3,0),IFERROR(VLOOKUP(B564,'FLOTA TERCEROS'!$A:$D,4,0)&amp;" — "&amp;VLOOKUP(B564,'FLOTA TERCEROS'!$A:$D,3,0),"⚠ No encontrado")))</f>
        <v>SPRINTER 515 CDIC — MERCEDES BENZ</v>
      </c>
      <c r="D564" s="38">
        <v>60</v>
      </c>
      <c r="E564" s="39">
        <v>217496</v>
      </c>
      <c r="F564" s="28" t="s">
        <v>111</v>
      </c>
      <c r="G564" s="40" t="s">
        <v>133</v>
      </c>
    </row>
    <row r="565" spans="1:7" ht="18" customHeight="1">
      <c r="A565" s="36">
        <v>45987</v>
      </c>
      <c r="B565" s="37" t="s">
        <v>36</v>
      </c>
      <c r="C565" s="25" t="str">
        <f>IF(B565="","",IFERROR(VLOOKUP(B565,FLOTA!$A:$D,4,0)&amp;" — "&amp;VLOOKUP(B565,FLOTA!$A:$D,3,0),IFERROR(VLOOKUP(B565,'FLOTA TERCEROS'!$A:$D,4,0)&amp;" — "&amp;VLOOKUP(B565,'FLOTA TERCEROS'!$A:$D,3,0),"⚠ No encontrado")))</f>
        <v>HILUX 4X2 CD SRV 3.0 — TOYOTA</v>
      </c>
      <c r="D565" s="38">
        <v>70</v>
      </c>
      <c r="E565" s="39">
        <v>315400</v>
      </c>
      <c r="F565" s="28" t="s">
        <v>112</v>
      </c>
      <c r="G565" s="40" t="s">
        <v>143</v>
      </c>
    </row>
    <row r="566" spans="1:7" ht="18" customHeight="1">
      <c r="A566" s="36">
        <v>45987</v>
      </c>
      <c r="B566" s="37" t="s">
        <v>70</v>
      </c>
      <c r="C566" s="25" t="str">
        <f>IF(B566="","",IFERROR(VLOOKUP(B566,FLOTA!$A:$D,4,0)&amp;" — "&amp;VLOOKUP(B566,FLOTA!$A:$D,3,0),IFERROR(VLOOKUP(B566,'FLOTA TERCEROS'!$A:$D,4,0)&amp;" — "&amp;VLOOKUP(B566,'FLOTA TERCEROS'!$A:$D,3,0),"⚠ No encontrado")))</f>
        <v>TORO — FIAT</v>
      </c>
      <c r="D566" s="38">
        <v>50</v>
      </c>
      <c r="E566" s="39">
        <v>172985</v>
      </c>
      <c r="F566" s="28" t="s">
        <v>121</v>
      </c>
      <c r="G566" s="40" t="s">
        <v>134</v>
      </c>
    </row>
    <row r="567" spans="1:7" ht="18" customHeight="1">
      <c r="A567" s="36">
        <v>45987</v>
      </c>
      <c r="B567" s="37" t="s">
        <v>81</v>
      </c>
      <c r="C567" s="25" t="str">
        <f>IF(B567="","",IFERROR(VLOOKUP(B567,FLOTA!$A:$D,4,0)&amp;" — "&amp;VLOOKUP(B567,FLOTA!$A:$D,3,0),IFERROR(VLOOKUP(B567,'FLOTA TERCEROS'!$A:$D,4,0)&amp;" — "&amp;VLOOKUP(B567,'FLOTA TERCEROS'!$A:$D,3,0),"⚠ No encontrado")))</f>
        <v>RANGER — FORD</v>
      </c>
      <c r="D567" s="38">
        <v>70</v>
      </c>
      <c r="E567" s="39">
        <v>64829</v>
      </c>
      <c r="F567" s="28" t="s">
        <v>114</v>
      </c>
      <c r="G567" s="40" t="s">
        <v>138</v>
      </c>
    </row>
    <row r="568" spans="1:7" ht="18" customHeight="1">
      <c r="A568" s="36">
        <v>45989</v>
      </c>
      <c r="B568" s="37" t="s">
        <v>43</v>
      </c>
      <c r="C568" s="25" t="str">
        <f>IF(B568="","",IFERROR(VLOOKUP(B568,FLOTA!$A:$D,4,0)&amp;" — "&amp;VLOOKUP(B568,FLOTA!$A:$D,3,0),IFERROR(VLOOKUP(B568,'FLOTA TERCEROS'!$A:$D,4,0)&amp;" — "&amp;VLOOKUP(B568,'FLOTA TERCEROS'!$A:$D,3,0),"⚠ No encontrado")))</f>
        <v>AMAROK CS 2.0 140CV — VOLKSWAGEN</v>
      </c>
      <c r="D568" s="38">
        <v>60</v>
      </c>
      <c r="E568" s="39">
        <v>168924</v>
      </c>
      <c r="F568" s="28" t="s">
        <v>118</v>
      </c>
      <c r="G568" s="40" t="s">
        <v>143</v>
      </c>
    </row>
    <row r="569" spans="1:7" ht="18" customHeight="1">
      <c r="A569" s="36">
        <v>45989</v>
      </c>
      <c r="B569" s="37" t="s">
        <v>36</v>
      </c>
      <c r="C569" s="25" t="str">
        <f>IF(B569="","",IFERROR(VLOOKUP(B569,FLOTA!$A:$D,4,0)&amp;" — "&amp;VLOOKUP(B569,FLOTA!$A:$D,3,0),IFERROR(VLOOKUP(B569,'FLOTA TERCEROS'!$A:$D,4,0)&amp;" — "&amp;VLOOKUP(B569,'FLOTA TERCEROS'!$A:$D,3,0),"⚠ No encontrado")))</f>
        <v>HILUX 4X2 CD SRV 3.0 — TOYOTA</v>
      </c>
      <c r="D569" s="38">
        <v>75</v>
      </c>
      <c r="E569" s="39">
        <v>316132</v>
      </c>
      <c r="F569" s="28" t="s">
        <v>112</v>
      </c>
      <c r="G569" s="40" t="s">
        <v>143</v>
      </c>
    </row>
    <row r="570" spans="1:7" ht="18" customHeight="1">
      <c r="A570" s="36">
        <v>45990</v>
      </c>
      <c r="B570" s="37" t="s">
        <v>58</v>
      </c>
      <c r="C570" s="25" t="str">
        <f>IF(B570="","",IFERROR(VLOOKUP(B570,FLOTA!$A:$D,4,0)&amp;" — "&amp;VLOOKUP(B570,FLOTA!$A:$D,3,0),IFERROR(VLOOKUP(B570,'FLOTA TERCEROS'!$A:$D,4,0)&amp;" — "&amp;VLOOKUP(B570,'FLOTA TERCEROS'!$A:$D,3,0),"⚠ No encontrado")))</f>
        <v>SPRINTER 515 CDIC — MERCEDES BENZ</v>
      </c>
      <c r="D570" s="38">
        <v>45</v>
      </c>
      <c r="E570" s="39">
        <v>217456</v>
      </c>
      <c r="F570" s="28" t="s">
        <v>111</v>
      </c>
      <c r="G570" s="40" t="s">
        <v>133</v>
      </c>
    </row>
    <row r="571" spans="1:7" ht="18" customHeight="1">
      <c r="A571" s="36">
        <v>45993</v>
      </c>
      <c r="B571" s="37" t="s">
        <v>58</v>
      </c>
      <c r="C571" s="25" t="str">
        <f>IF(B571="","",IFERROR(VLOOKUP(B571,FLOTA!$A:$D,4,0)&amp;" — "&amp;VLOOKUP(B571,FLOTA!$A:$D,3,0),IFERROR(VLOOKUP(B571,'FLOTA TERCEROS'!$A:$D,4,0)&amp;" — "&amp;VLOOKUP(B571,'FLOTA TERCEROS'!$A:$D,3,0),"⚠ No encontrado")))</f>
        <v>SPRINTER 515 CDIC — MERCEDES BENZ</v>
      </c>
      <c r="D571" s="38">
        <v>45</v>
      </c>
      <c r="E571" s="39">
        <v>218147</v>
      </c>
      <c r="F571" s="28" t="s">
        <v>111</v>
      </c>
      <c r="G571" s="40" t="s">
        <v>133</v>
      </c>
    </row>
    <row r="572" spans="1:7" ht="18" customHeight="1">
      <c r="A572" s="36">
        <v>45994</v>
      </c>
      <c r="B572" s="37" t="s">
        <v>66</v>
      </c>
      <c r="C572" s="25" t="str">
        <f>IF(B572="","",IFERROR(VLOOKUP(B572,FLOTA!$A:$D,4,0)&amp;" — "&amp;VLOOKUP(B572,FLOTA!$A:$D,3,0),IFERROR(VLOOKUP(B572,'FLOTA TERCEROS'!$A:$D,4,0)&amp;" — "&amp;VLOOKUP(B572,'FLOTA TERCEROS'!$A:$D,3,0),"⚠ No encontrado")))</f>
        <v>SPRINTER 515 CDIC — MERCEDES BENZ</v>
      </c>
      <c r="D572" s="38">
        <v>70</v>
      </c>
      <c r="E572" s="39">
        <v>140100</v>
      </c>
      <c r="F572" s="28" t="s">
        <v>113</v>
      </c>
      <c r="G572" s="40" t="s">
        <v>133</v>
      </c>
    </row>
    <row r="573" spans="1:7" ht="18" customHeight="1">
      <c r="A573" s="36">
        <v>45994</v>
      </c>
      <c r="B573" s="37" t="s">
        <v>90</v>
      </c>
      <c r="C573" s="25" t="str">
        <f>IF(B573="","",IFERROR(VLOOKUP(B573,FLOTA!$A:$D,4,0)&amp;" — "&amp;VLOOKUP(B573,FLOTA!$A:$D,3,0),IFERROR(VLOOKUP(B573,'FLOTA TERCEROS'!$A:$D,4,0)&amp;" — "&amp;VLOOKUP(B573,'FLOTA TERCEROS'!$A:$D,3,0),"⚠ No encontrado")))</f>
        <v>RANGER — FORD</v>
      </c>
      <c r="D573" s="38">
        <v>70</v>
      </c>
      <c r="E573" s="39">
        <v>44648</v>
      </c>
      <c r="F573" s="28" t="s">
        <v>116</v>
      </c>
      <c r="G573" s="40" t="s">
        <v>139</v>
      </c>
    </row>
    <row r="574" spans="1:7" ht="18" customHeight="1">
      <c r="A574" s="36">
        <v>45994</v>
      </c>
      <c r="B574" s="37" t="s">
        <v>36</v>
      </c>
      <c r="C574" s="25" t="str">
        <f>IF(B574="","",IFERROR(VLOOKUP(B574,FLOTA!$A:$D,4,0)&amp;" — "&amp;VLOOKUP(B574,FLOTA!$A:$D,3,0),IFERROR(VLOOKUP(B574,'FLOTA TERCEROS'!$A:$D,4,0)&amp;" — "&amp;VLOOKUP(B574,'FLOTA TERCEROS'!$A:$D,3,0),"⚠ No encontrado")))</f>
        <v>HILUX 4X2 CD SRV 3.0 — TOYOTA</v>
      </c>
      <c r="D574" s="38">
        <v>75</v>
      </c>
      <c r="E574" s="39">
        <v>316824</v>
      </c>
      <c r="F574" s="28" t="s">
        <v>112</v>
      </c>
      <c r="G574" s="40" t="s">
        <v>143</v>
      </c>
    </row>
    <row r="575" spans="1:7" ht="18" customHeight="1">
      <c r="A575" s="36">
        <v>45994</v>
      </c>
      <c r="B575" s="37" t="s">
        <v>70</v>
      </c>
      <c r="C575" s="25" t="str">
        <f>IF(B575="","",IFERROR(VLOOKUP(B575,FLOTA!$A:$D,4,0)&amp;" — "&amp;VLOOKUP(B575,FLOTA!$A:$D,3,0),IFERROR(VLOOKUP(B575,'FLOTA TERCEROS'!$A:$D,4,0)&amp;" — "&amp;VLOOKUP(B575,'FLOTA TERCEROS'!$A:$D,3,0),"⚠ No encontrado")))</f>
        <v>TORO — FIAT</v>
      </c>
      <c r="D575" s="38">
        <v>45</v>
      </c>
      <c r="E575" s="39">
        <v>173521</v>
      </c>
      <c r="F575" s="28" t="s">
        <v>121</v>
      </c>
      <c r="G575" s="40" t="s">
        <v>134</v>
      </c>
    </row>
    <row r="576" spans="1:7" ht="18" customHeight="1">
      <c r="A576" s="36">
        <v>45995</v>
      </c>
      <c r="B576" s="37" t="s">
        <v>24</v>
      </c>
      <c r="C576" s="25" t="str">
        <f>IF(B576="","",IFERROR(VLOOKUP(B576,FLOTA!$A:$D,4,0)&amp;" — "&amp;VLOOKUP(B576,FLOTA!$A:$D,3,0),IFERROR(VLOOKUP(B576,'FLOTA TERCEROS'!$A:$D,4,0)&amp;" — "&amp;VLOOKUP(B576,'FLOTA TERCEROS'!$A:$D,3,0),"⚠ No encontrado")))</f>
        <v>RANGER 2 CD 4X4 XLS 3.2L — FORD</v>
      </c>
      <c r="D576" s="38">
        <v>80</v>
      </c>
      <c r="E576" s="39">
        <v>253227</v>
      </c>
      <c r="F576" s="28" t="s">
        <v>108</v>
      </c>
      <c r="G576" s="40" t="s">
        <v>140</v>
      </c>
    </row>
    <row r="577" spans="1:7" ht="18" customHeight="1">
      <c r="A577" s="36">
        <v>45995</v>
      </c>
      <c r="B577" s="37" t="s">
        <v>32</v>
      </c>
      <c r="C577" s="25" t="str">
        <f>IF(B577="","",IFERROR(VLOOKUP(B577,FLOTA!$A:$D,4,0)&amp;" — "&amp;VLOOKUP(B577,FLOTA!$A:$D,3,0),IFERROR(VLOOKUP(B577,'FLOTA TERCEROS'!$A:$D,4,0)&amp;" — "&amp;VLOOKUP(B577,'FLOTA TERCEROS'!$A:$D,3,0),"⚠ No encontrado")))</f>
        <v>PRADO LAND CRUISER — TOYOTA</v>
      </c>
      <c r="D577" s="38">
        <v>50</v>
      </c>
      <c r="E577" s="39">
        <v>447769</v>
      </c>
      <c r="F577" s="28" t="s">
        <v>112</v>
      </c>
      <c r="G577" s="40" t="s">
        <v>143</v>
      </c>
    </row>
    <row r="578" spans="1:7" ht="18" customHeight="1">
      <c r="A578" s="36">
        <v>45996</v>
      </c>
      <c r="B578" s="37" t="s">
        <v>81</v>
      </c>
      <c r="C578" s="25" t="str">
        <f>IF(B578="","",IFERROR(VLOOKUP(B578,FLOTA!$A:$D,4,0)&amp;" — "&amp;VLOOKUP(B578,FLOTA!$A:$D,3,0),IFERROR(VLOOKUP(B578,'FLOTA TERCEROS'!$A:$D,4,0)&amp;" — "&amp;VLOOKUP(B578,'FLOTA TERCEROS'!$A:$D,3,0),"⚠ No encontrado")))</f>
        <v>RANGER — FORD</v>
      </c>
      <c r="D578" s="38">
        <v>80</v>
      </c>
      <c r="E578" s="39">
        <v>65452</v>
      </c>
      <c r="F578" s="28" t="s">
        <v>114</v>
      </c>
      <c r="G578" s="40" t="s">
        <v>138</v>
      </c>
    </row>
    <row r="579" spans="1:7" ht="18" customHeight="1">
      <c r="A579" s="36">
        <v>46000</v>
      </c>
      <c r="B579" s="37" t="s">
        <v>36</v>
      </c>
      <c r="C579" s="25" t="str">
        <f>IF(B579="","",IFERROR(VLOOKUP(B579,FLOTA!$A:$D,4,0)&amp;" — "&amp;VLOOKUP(B579,FLOTA!$A:$D,3,0),IFERROR(VLOOKUP(B579,'FLOTA TERCEROS'!$A:$D,4,0)&amp;" — "&amp;VLOOKUP(B579,'FLOTA TERCEROS'!$A:$D,3,0),"⚠ No encontrado")))</f>
        <v>HILUX 4X2 CD SRV 3.0 — TOYOTA</v>
      </c>
      <c r="D579" s="38">
        <v>70</v>
      </c>
      <c r="E579" s="39">
        <v>318041</v>
      </c>
      <c r="F579" s="28" t="s">
        <v>112</v>
      </c>
      <c r="G579" s="40" t="s">
        <v>143</v>
      </c>
    </row>
    <row r="580" spans="1:7" ht="18" customHeight="1">
      <c r="A580" s="36">
        <v>46000</v>
      </c>
      <c r="B580" s="37" t="s">
        <v>70</v>
      </c>
      <c r="C580" s="25" t="str">
        <f>IF(B580="","",IFERROR(VLOOKUP(B580,FLOTA!$A:$D,4,0)&amp;" — "&amp;VLOOKUP(B580,FLOTA!$A:$D,3,0),IFERROR(VLOOKUP(B580,'FLOTA TERCEROS'!$A:$D,4,0)&amp;" — "&amp;VLOOKUP(B580,'FLOTA TERCEROS'!$A:$D,3,0),"⚠ No encontrado")))</f>
        <v>TORO — FIAT</v>
      </c>
      <c r="D580" s="38">
        <v>40</v>
      </c>
      <c r="E580" s="39">
        <v>173996</v>
      </c>
      <c r="F580" s="28" t="s">
        <v>121</v>
      </c>
      <c r="G580" s="40" t="s">
        <v>134</v>
      </c>
    </row>
    <row r="581" spans="1:7" ht="18" customHeight="1">
      <c r="A581" s="36">
        <v>46001</v>
      </c>
      <c r="B581" s="37" t="s">
        <v>32</v>
      </c>
      <c r="C581" s="25" t="str">
        <f>IF(B581="","",IFERROR(VLOOKUP(B581,FLOTA!$A:$D,4,0)&amp;" — "&amp;VLOOKUP(B581,FLOTA!$A:$D,3,0),IFERROR(VLOOKUP(B581,'FLOTA TERCEROS'!$A:$D,4,0)&amp;" — "&amp;VLOOKUP(B581,'FLOTA TERCEROS'!$A:$D,3,0),"⚠ No encontrado")))</f>
        <v>PRADO LAND CRUISER — TOYOTA</v>
      </c>
      <c r="D581" s="38">
        <v>60</v>
      </c>
      <c r="E581" s="39">
        <v>448215</v>
      </c>
      <c r="F581" s="28" t="s">
        <v>112</v>
      </c>
      <c r="G581" s="40" t="s">
        <v>143</v>
      </c>
    </row>
    <row r="582" spans="1:7" ht="18" customHeight="1">
      <c r="A582" s="36">
        <v>46001</v>
      </c>
      <c r="B582" s="37" t="s">
        <v>43</v>
      </c>
      <c r="C582" s="25" t="str">
        <f>IF(B582="","",IFERROR(VLOOKUP(B582,FLOTA!$A:$D,4,0)&amp;" — "&amp;VLOOKUP(B582,FLOTA!$A:$D,3,0),IFERROR(VLOOKUP(B582,'FLOTA TERCEROS'!$A:$D,4,0)&amp;" — "&amp;VLOOKUP(B582,'FLOTA TERCEROS'!$A:$D,3,0),"⚠ No encontrado")))</f>
        <v>AMAROK CS 2.0 140CV — VOLKSWAGEN</v>
      </c>
      <c r="D582" s="38">
        <v>80</v>
      </c>
      <c r="E582" s="39">
        <v>170628</v>
      </c>
      <c r="F582" s="28" t="s">
        <v>118</v>
      </c>
      <c r="G582" s="40" t="s">
        <v>128</v>
      </c>
    </row>
    <row r="583" spans="1:7" ht="18" customHeight="1">
      <c r="A583" s="36">
        <v>46001</v>
      </c>
      <c r="B583" s="37" t="s">
        <v>49</v>
      </c>
      <c r="C583" s="25" t="str">
        <f>IF(B583="","",IFERROR(VLOOKUP(B583,FLOTA!$A:$D,4,0)&amp;" — "&amp;VLOOKUP(B583,FLOTA!$A:$D,3,0),IFERROR(VLOOKUP(B583,'FLOTA TERCEROS'!$A:$D,4,0)&amp;" — "&amp;VLOOKUP(B583,'FLOTA TERCEROS'!$A:$D,3,0),"⚠ No encontrado")))</f>
        <v>AMAROK CD 2.0 4X4 180CV — VOLKSWAGEN</v>
      </c>
      <c r="D583" s="38">
        <v>70</v>
      </c>
      <c r="E583" s="39">
        <v>216431</v>
      </c>
      <c r="F583" s="28" t="s">
        <v>112</v>
      </c>
      <c r="G583" s="40" t="s">
        <v>143</v>
      </c>
    </row>
    <row r="584" spans="1:7" ht="18" customHeight="1">
      <c r="A584" s="36">
        <v>46001</v>
      </c>
      <c r="B584" s="37" t="s">
        <v>58</v>
      </c>
      <c r="C584" s="25" t="str">
        <f>IF(B584="","",IFERROR(VLOOKUP(B584,FLOTA!$A:$D,4,0)&amp;" — "&amp;VLOOKUP(B584,FLOTA!$A:$D,3,0),IFERROR(VLOOKUP(B584,'FLOTA TERCEROS'!$A:$D,4,0)&amp;" — "&amp;VLOOKUP(B584,'FLOTA TERCEROS'!$A:$D,3,0),"⚠ No encontrado")))</f>
        <v>SPRINTER 515 CDIC — MERCEDES BENZ</v>
      </c>
      <c r="D584" s="38">
        <v>65</v>
      </c>
      <c r="E584" s="39">
        <v>218582</v>
      </c>
      <c r="F584" s="28" t="s">
        <v>111</v>
      </c>
      <c r="G584" s="40" t="s">
        <v>133</v>
      </c>
    </row>
    <row r="585" spans="1:7" ht="18" customHeight="1">
      <c r="A585" s="36">
        <v>46001</v>
      </c>
      <c r="B585" s="37" t="s">
        <v>66</v>
      </c>
      <c r="C585" s="25" t="str">
        <f>IF(B585="","",IFERROR(VLOOKUP(B585,FLOTA!$A:$D,4,0)&amp;" — "&amp;VLOOKUP(B585,FLOTA!$A:$D,3,0),IFERROR(VLOOKUP(B585,'FLOTA TERCEROS'!$A:$D,4,0)&amp;" — "&amp;VLOOKUP(B585,'FLOTA TERCEROS'!$A:$D,3,0),"⚠ No encontrado")))</f>
        <v>SPRINTER 515 CDIC — MERCEDES BENZ</v>
      </c>
      <c r="D585" s="38">
        <v>65</v>
      </c>
      <c r="E585" s="39">
        <v>140625</v>
      </c>
      <c r="F585" s="28" t="s">
        <v>113</v>
      </c>
      <c r="G585" s="40" t="s">
        <v>133</v>
      </c>
    </row>
    <row r="586" spans="1:7" ht="18" customHeight="1">
      <c r="A586" s="36">
        <v>46001</v>
      </c>
      <c r="B586" s="37" t="s">
        <v>53</v>
      </c>
      <c r="C586" s="25" t="str">
        <f>IF(B586="","",IFERROR(VLOOKUP(B586,FLOTA!$A:$D,4,0)&amp;" — "&amp;VLOOKUP(B586,FLOTA!$A:$D,3,0),IFERROR(VLOOKUP(B586,'FLOTA TERCEROS'!$A:$D,4,0)&amp;" — "&amp;VLOOKUP(B586,'FLOTA TERCEROS'!$A:$D,3,0),"⚠ No encontrado")))</f>
        <v>AMAROK DC 2.0L TDI 180CV 4X4 — VOLKSWAGEN</v>
      </c>
      <c r="D586" s="38">
        <v>65</v>
      </c>
      <c r="E586" s="39">
        <v>288078</v>
      </c>
      <c r="F586" s="28" t="s">
        <v>126</v>
      </c>
      <c r="G586" s="40" t="s">
        <v>142</v>
      </c>
    </row>
    <row r="587" spans="1:7" ht="18" customHeight="1">
      <c r="A587" s="36">
        <v>46002</v>
      </c>
      <c r="B587" s="37" t="s">
        <v>90</v>
      </c>
      <c r="C587" s="25" t="str">
        <f>IF(B587="","",IFERROR(VLOOKUP(B587,FLOTA!$A:$D,4,0)&amp;" — "&amp;VLOOKUP(B587,FLOTA!$A:$D,3,0),IFERROR(VLOOKUP(B587,'FLOTA TERCEROS'!$A:$D,4,0)&amp;" — "&amp;VLOOKUP(B587,'FLOTA TERCEROS'!$A:$D,3,0),"⚠ No encontrado")))</f>
        <v>RANGER — FORD</v>
      </c>
      <c r="D587" s="38">
        <v>80</v>
      </c>
      <c r="E587" s="39">
        <v>45391</v>
      </c>
      <c r="F587" s="28" t="s">
        <v>116</v>
      </c>
      <c r="G587" s="40" t="s">
        <v>139</v>
      </c>
    </row>
    <row r="588" spans="1:7" ht="18" customHeight="1">
      <c r="A588" s="36">
        <v>46003</v>
      </c>
      <c r="B588" s="37" t="s">
        <v>24</v>
      </c>
      <c r="C588" s="25" t="str">
        <f>IF(B588="","",IFERROR(VLOOKUP(B588,FLOTA!$A:$D,4,0)&amp;" — "&amp;VLOOKUP(B588,FLOTA!$A:$D,3,0),IFERROR(VLOOKUP(B588,'FLOTA TERCEROS'!$A:$D,4,0)&amp;" — "&amp;VLOOKUP(B588,'FLOTA TERCEROS'!$A:$D,3,0),"⚠ No encontrado")))</f>
        <v>RANGER 2 CD 4X4 XLS 3.2L — FORD</v>
      </c>
      <c r="D588" s="38">
        <v>80</v>
      </c>
      <c r="E588" s="39">
        <v>254152</v>
      </c>
      <c r="F588" s="28" t="s">
        <v>108</v>
      </c>
      <c r="G588" s="40" t="s">
        <v>140</v>
      </c>
    </row>
    <row r="589" spans="1:7" ht="18" customHeight="1">
      <c r="A589" s="36">
        <v>46006</v>
      </c>
      <c r="B589" s="37" t="s">
        <v>36</v>
      </c>
      <c r="C589" s="25" t="str">
        <f>IF(B589="","",IFERROR(VLOOKUP(B589,FLOTA!$A:$D,4,0)&amp;" — "&amp;VLOOKUP(B589,FLOTA!$A:$D,3,0),IFERROR(VLOOKUP(B589,'FLOTA TERCEROS'!$A:$D,4,0)&amp;" — "&amp;VLOOKUP(B589,'FLOTA TERCEROS'!$A:$D,3,0),"⚠ No encontrado")))</f>
        <v>HILUX 4X2 CD SRV 3.0 — TOYOTA</v>
      </c>
      <c r="D589" s="38">
        <v>70</v>
      </c>
      <c r="E589" s="39">
        <v>318928</v>
      </c>
      <c r="F589" s="28" t="s">
        <v>112</v>
      </c>
      <c r="G589" s="40" t="s">
        <v>143</v>
      </c>
    </row>
    <row r="590" spans="1:7" ht="18" customHeight="1">
      <c r="A590" s="36">
        <v>46006</v>
      </c>
      <c r="B590" s="37" t="s">
        <v>66</v>
      </c>
      <c r="C590" s="25" t="str">
        <f>IF(B590="","",IFERROR(VLOOKUP(B590,FLOTA!$A:$D,4,0)&amp;" — "&amp;VLOOKUP(B590,FLOTA!$A:$D,3,0),IFERROR(VLOOKUP(B590,'FLOTA TERCEROS'!$A:$D,4,0)&amp;" — "&amp;VLOOKUP(B590,'FLOTA TERCEROS'!$A:$D,3,0),"⚠ No encontrado")))</f>
        <v>SPRINTER 515 CDIC — MERCEDES BENZ</v>
      </c>
      <c r="D590" s="38">
        <v>60</v>
      </c>
      <c r="E590" s="39">
        <v>141063</v>
      </c>
      <c r="F590" s="28" t="s">
        <v>113</v>
      </c>
      <c r="G590" s="40" t="s">
        <v>133</v>
      </c>
    </row>
    <row r="591" spans="1:7" ht="18" customHeight="1">
      <c r="A591" s="36">
        <v>46006</v>
      </c>
      <c r="B591" s="37" t="s">
        <v>32</v>
      </c>
      <c r="C591" s="25" t="str">
        <f>IF(B591="","",IFERROR(VLOOKUP(B591,FLOTA!$A:$D,4,0)&amp;" — "&amp;VLOOKUP(B591,FLOTA!$A:$D,3,0),IFERROR(VLOOKUP(B591,'FLOTA TERCEROS'!$A:$D,4,0)&amp;" — "&amp;VLOOKUP(B591,'FLOTA TERCEROS'!$A:$D,3,0),"⚠ No encontrado")))</f>
        <v>PRADO LAND CRUISER — TOYOTA</v>
      </c>
      <c r="D591" s="38">
        <v>55</v>
      </c>
      <c r="E591" s="39">
        <v>448564</v>
      </c>
      <c r="F591" s="28" t="s">
        <v>112</v>
      </c>
      <c r="G591" s="40" t="s">
        <v>143</v>
      </c>
    </row>
    <row r="592" spans="1:7" ht="18" customHeight="1">
      <c r="A592" s="36">
        <v>46006</v>
      </c>
      <c r="B592" s="37" t="s">
        <v>70</v>
      </c>
      <c r="C592" s="25" t="str">
        <f>IF(B592="","",IFERROR(VLOOKUP(B592,FLOTA!$A:$D,4,0)&amp;" — "&amp;VLOOKUP(B592,FLOTA!$A:$D,3,0),IFERROR(VLOOKUP(B592,'FLOTA TERCEROS'!$A:$D,4,0)&amp;" — "&amp;VLOOKUP(B592,'FLOTA TERCEROS'!$A:$D,3,0),"⚠ No encontrado")))</f>
        <v>TORO — FIAT</v>
      </c>
      <c r="D592" s="38">
        <v>50</v>
      </c>
      <c r="E592" s="39">
        <v>174577</v>
      </c>
      <c r="F592" s="28" t="s">
        <v>121</v>
      </c>
      <c r="G592" s="40" t="s">
        <v>143</v>
      </c>
    </row>
    <row r="593" spans="1:7" ht="18" customHeight="1">
      <c r="A593" s="36">
        <v>46006</v>
      </c>
      <c r="B593" s="37" t="s">
        <v>43</v>
      </c>
      <c r="C593" s="25" t="str">
        <f>IF(B593="","",IFERROR(VLOOKUP(B593,FLOTA!$A:$D,4,0)&amp;" — "&amp;VLOOKUP(B593,FLOTA!$A:$D,3,0),IFERROR(VLOOKUP(B593,'FLOTA TERCEROS'!$A:$D,4,0)&amp;" — "&amp;VLOOKUP(B593,'FLOTA TERCEROS'!$A:$D,3,0),"⚠ No encontrado")))</f>
        <v>AMAROK CS 2.0 140CV — VOLKSWAGEN</v>
      </c>
      <c r="D593" s="38">
        <v>75</v>
      </c>
      <c r="E593" s="39">
        <v>171322</v>
      </c>
      <c r="F593" s="28" t="s">
        <v>118</v>
      </c>
      <c r="G593" s="40" t="s">
        <v>128</v>
      </c>
    </row>
    <row r="594" spans="1:7" ht="18" customHeight="1">
      <c r="A594" s="36">
        <v>46007</v>
      </c>
      <c r="B594" s="37" t="s">
        <v>58</v>
      </c>
      <c r="C594" s="25" t="str">
        <f>IF(B594="","",IFERROR(VLOOKUP(B594,FLOTA!$A:$D,4,0)&amp;" — "&amp;VLOOKUP(B594,FLOTA!$A:$D,3,0),IFERROR(VLOOKUP(B594,'FLOTA TERCEROS'!$A:$D,4,0)&amp;" — "&amp;VLOOKUP(B594,'FLOTA TERCEROS'!$A:$D,3,0),"⚠ No encontrado")))</f>
        <v>SPRINTER 515 CDIC — MERCEDES BENZ</v>
      </c>
      <c r="D594" s="38">
        <v>60</v>
      </c>
      <c r="E594" s="39">
        <v>219004</v>
      </c>
      <c r="F594" s="28" t="s">
        <v>111</v>
      </c>
      <c r="G594" s="40" t="s">
        <v>133</v>
      </c>
    </row>
    <row r="595" spans="1:7" ht="18" customHeight="1">
      <c r="A595" s="36">
        <v>46009</v>
      </c>
      <c r="B595" s="37" t="s">
        <v>36</v>
      </c>
      <c r="C595" s="25" t="str">
        <f>IF(B595="","",IFERROR(VLOOKUP(B595,FLOTA!$A:$D,4,0)&amp;" — "&amp;VLOOKUP(B595,FLOTA!$A:$D,3,0),IFERROR(VLOOKUP(B595,'FLOTA TERCEROS'!$A:$D,4,0)&amp;" — "&amp;VLOOKUP(B595,'FLOTA TERCEROS'!$A:$D,3,0),"⚠ No encontrado")))</f>
        <v>HILUX 4X2 CD SRV 3.0 — TOYOTA</v>
      </c>
      <c r="D595" s="38">
        <v>75</v>
      </c>
      <c r="E595" s="39">
        <v>319643</v>
      </c>
      <c r="F595" s="28" t="s">
        <v>112</v>
      </c>
      <c r="G595" s="40" t="s">
        <v>143</v>
      </c>
    </row>
    <row r="596" spans="1:7" ht="18" customHeight="1">
      <c r="A596" s="36">
        <v>46009</v>
      </c>
      <c r="B596" s="37" t="s">
        <v>43</v>
      </c>
      <c r="C596" s="25" t="str">
        <f>IF(B596="","",IFERROR(VLOOKUP(B596,FLOTA!$A:$D,4,0)&amp;" — "&amp;VLOOKUP(B596,FLOTA!$A:$D,3,0),IFERROR(VLOOKUP(B596,'FLOTA TERCEROS'!$A:$D,4,0)&amp;" — "&amp;VLOOKUP(B596,'FLOTA TERCEROS'!$A:$D,3,0),"⚠ No encontrado")))</f>
        <v>AMAROK CS 2.0 140CV — VOLKSWAGEN</v>
      </c>
      <c r="D596" s="38">
        <v>40</v>
      </c>
      <c r="E596" s="39">
        <v>171714</v>
      </c>
      <c r="F596" s="28" t="s">
        <v>116</v>
      </c>
      <c r="G596" s="40" t="s">
        <v>128</v>
      </c>
    </row>
    <row r="597" spans="1:7" ht="18" customHeight="1">
      <c r="A597" s="36">
        <v>46009</v>
      </c>
      <c r="B597" s="37" t="s">
        <v>81</v>
      </c>
      <c r="C597" s="25" t="str">
        <f>IF(B597="","",IFERROR(VLOOKUP(B597,FLOTA!$A:$D,4,0)&amp;" — "&amp;VLOOKUP(B597,FLOTA!$A:$D,3,0),IFERROR(VLOOKUP(B597,'FLOTA TERCEROS'!$A:$D,4,0)&amp;" — "&amp;VLOOKUP(B597,'FLOTA TERCEROS'!$A:$D,3,0),"⚠ No encontrado")))</f>
        <v>RANGER — FORD</v>
      </c>
      <c r="D597" s="38">
        <v>80</v>
      </c>
      <c r="E597" s="39">
        <v>66192</v>
      </c>
      <c r="F597" s="28" t="s">
        <v>112</v>
      </c>
      <c r="G597" s="40" t="s">
        <v>143</v>
      </c>
    </row>
    <row r="598" spans="1:7" ht="18" customHeight="1">
      <c r="A598" s="36">
        <v>46009</v>
      </c>
      <c r="B598" s="37" t="s">
        <v>90</v>
      </c>
      <c r="C598" s="25" t="str">
        <f>IF(B598="","",IFERROR(VLOOKUP(B598,FLOTA!$A:$D,4,0)&amp;" — "&amp;VLOOKUP(B598,FLOTA!$A:$D,3,0),IFERROR(VLOOKUP(B598,'FLOTA TERCEROS'!$A:$D,4,0)&amp;" — "&amp;VLOOKUP(B598,'FLOTA TERCEROS'!$A:$D,3,0),"⚠ No encontrado")))</f>
        <v>RANGER — FORD</v>
      </c>
      <c r="D598" s="38">
        <v>55</v>
      </c>
      <c r="E598" s="39">
        <v>45900</v>
      </c>
      <c r="F598" s="28" t="s">
        <v>116</v>
      </c>
      <c r="G598" s="40" t="s">
        <v>139</v>
      </c>
    </row>
    <row r="599" spans="1:7" ht="18" customHeight="1">
      <c r="A599" s="36">
        <v>46011</v>
      </c>
      <c r="B599" s="37" t="s">
        <v>70</v>
      </c>
      <c r="C599" s="25" t="str">
        <f>IF(B599="","",IFERROR(VLOOKUP(B599,FLOTA!$A:$D,4,0)&amp;" — "&amp;VLOOKUP(B599,FLOTA!$A:$D,3,0),IFERROR(VLOOKUP(B599,'FLOTA TERCEROS'!$A:$D,4,0)&amp;" — "&amp;VLOOKUP(B599,'FLOTA TERCEROS'!$A:$D,3,0),"⚠ No encontrado")))</f>
        <v>TORO — FIAT</v>
      </c>
      <c r="D599" s="38">
        <v>50</v>
      </c>
      <c r="E599" s="39"/>
      <c r="F599" s="28" t="s">
        <v>121</v>
      </c>
      <c r="G599" s="40" t="s">
        <v>143</v>
      </c>
    </row>
    <row r="600" spans="1:7" ht="18" customHeight="1">
      <c r="A600" s="36">
        <v>46011</v>
      </c>
      <c r="B600" s="37" t="s">
        <v>58</v>
      </c>
      <c r="C600" s="25" t="str">
        <f>IF(B600="","",IFERROR(VLOOKUP(B600,FLOTA!$A:$D,4,0)&amp;" — "&amp;VLOOKUP(B600,FLOTA!$A:$D,3,0),IFERROR(VLOOKUP(B600,'FLOTA TERCEROS'!$A:$D,4,0)&amp;" — "&amp;VLOOKUP(B600,'FLOTA TERCEROS'!$A:$D,3,0),"⚠ No encontrado")))</f>
        <v>SPRINTER 515 CDIC — MERCEDES BENZ</v>
      </c>
      <c r="D600" s="38">
        <v>55</v>
      </c>
      <c r="E600" s="39"/>
      <c r="F600" s="28" t="s">
        <v>113</v>
      </c>
      <c r="G600" s="40" t="s">
        <v>133</v>
      </c>
    </row>
    <row r="601" spans="1:7" ht="18" customHeight="1">
      <c r="A601" s="36">
        <v>46013</v>
      </c>
      <c r="B601" s="37" t="s">
        <v>36</v>
      </c>
      <c r="C601" s="25" t="str">
        <f>IF(B601="","",IFERROR(VLOOKUP(B601,FLOTA!$A:$D,4,0)&amp;" — "&amp;VLOOKUP(B601,FLOTA!$A:$D,3,0),IFERROR(VLOOKUP(B601,'FLOTA TERCEROS'!$A:$D,4,0)&amp;" — "&amp;VLOOKUP(B601,'FLOTA TERCEROS'!$A:$D,3,0),"⚠ No encontrado")))</f>
        <v>HILUX 4X2 CD SRV 3.0 — TOYOTA</v>
      </c>
      <c r="D601" s="38">
        <v>60</v>
      </c>
      <c r="E601" s="39">
        <v>320242</v>
      </c>
      <c r="F601" s="28" t="s">
        <v>112</v>
      </c>
      <c r="G601" s="40" t="s">
        <v>143</v>
      </c>
    </row>
    <row r="602" spans="1:7" ht="18" customHeight="1">
      <c r="A602" s="36">
        <v>46014</v>
      </c>
      <c r="B602" s="37" t="s">
        <v>81</v>
      </c>
      <c r="C602" s="25" t="str">
        <f>IF(B602="","",IFERROR(VLOOKUP(B602,FLOTA!$A:$D,4,0)&amp;" — "&amp;VLOOKUP(B602,FLOTA!$A:$D,3,0),IFERROR(VLOOKUP(B602,'FLOTA TERCEROS'!$A:$D,4,0)&amp;" — "&amp;VLOOKUP(B602,'FLOTA TERCEROS'!$A:$D,3,0),"⚠ No encontrado")))</f>
        <v>RANGER — FORD</v>
      </c>
      <c r="D602" s="38">
        <v>65</v>
      </c>
      <c r="E602" s="39">
        <v>66859</v>
      </c>
      <c r="F602" s="28" t="s">
        <v>112</v>
      </c>
      <c r="G602" s="40" t="s">
        <v>143</v>
      </c>
    </row>
    <row r="603" spans="1:7" ht="18" customHeight="1">
      <c r="A603" s="36">
        <v>46014</v>
      </c>
      <c r="B603" s="37" t="s">
        <v>66</v>
      </c>
      <c r="C603" s="25" t="str">
        <f>IF(B603="","",IFERROR(VLOOKUP(B603,FLOTA!$A:$D,4,0)&amp;" — "&amp;VLOOKUP(B603,FLOTA!$A:$D,3,0),IFERROR(VLOOKUP(B603,'FLOTA TERCEROS'!$A:$D,4,0)&amp;" — "&amp;VLOOKUP(B603,'FLOTA TERCEROS'!$A:$D,3,0),"⚠ No encontrado")))</f>
        <v>SPRINTER 515 CDIC — MERCEDES BENZ</v>
      </c>
      <c r="D603" s="38">
        <v>60</v>
      </c>
      <c r="E603" s="39">
        <v>141512</v>
      </c>
      <c r="F603" s="28" t="s">
        <v>113</v>
      </c>
      <c r="G603" s="40" t="s">
        <v>133</v>
      </c>
    </row>
    <row r="604" spans="1:7" ht="18" customHeight="1">
      <c r="A604" s="36">
        <v>46015</v>
      </c>
      <c r="B604" s="37" t="s">
        <v>43</v>
      </c>
      <c r="C604" s="25" t="str">
        <f>IF(B604="","",IFERROR(VLOOKUP(B604,FLOTA!$A:$D,4,0)&amp;" — "&amp;VLOOKUP(B604,FLOTA!$A:$D,3,0),IFERROR(VLOOKUP(B604,'FLOTA TERCEROS'!$A:$D,4,0)&amp;" — "&amp;VLOOKUP(B604,'FLOTA TERCEROS'!$A:$D,3,0),"⚠ No encontrado")))</f>
        <v>AMAROK CS 2.0 140CV — VOLKSWAGEN</v>
      </c>
      <c r="D604" s="38">
        <v>25</v>
      </c>
      <c r="E604" s="39">
        <v>172412</v>
      </c>
      <c r="F604" s="28" t="s">
        <v>118</v>
      </c>
      <c r="G604" s="40" t="s">
        <v>128</v>
      </c>
    </row>
    <row r="605" spans="1:7" ht="18" customHeight="1">
      <c r="A605" s="36">
        <v>46017</v>
      </c>
      <c r="B605" s="37" t="s">
        <v>58</v>
      </c>
      <c r="C605" s="25" t="str">
        <f>IF(B605="","",IFERROR(VLOOKUP(B605,FLOTA!$A:$D,4,0)&amp;" — "&amp;VLOOKUP(B605,FLOTA!$A:$D,3,0),IFERROR(VLOOKUP(B605,'FLOTA TERCEROS'!$A:$D,4,0)&amp;" — "&amp;VLOOKUP(B605,'FLOTA TERCEROS'!$A:$D,3,0),"⚠ No encontrado")))</f>
        <v>SPRINTER 515 CDIC — MERCEDES BENZ</v>
      </c>
      <c r="D605" s="38">
        <v>60</v>
      </c>
      <c r="E605" s="39">
        <v>219790</v>
      </c>
      <c r="F605" s="28" t="s">
        <v>111</v>
      </c>
      <c r="G605" s="40" t="s">
        <v>133</v>
      </c>
    </row>
    <row r="606" spans="1:7" ht="18" customHeight="1">
      <c r="A606" s="36">
        <v>46017</v>
      </c>
      <c r="B606" s="37" t="s">
        <v>43</v>
      </c>
      <c r="C606" s="25" t="str">
        <f>IF(B606="","",IFERROR(VLOOKUP(B606,FLOTA!$A:$D,4,0)&amp;" — "&amp;VLOOKUP(B606,FLOTA!$A:$D,3,0),IFERROR(VLOOKUP(B606,'FLOTA TERCEROS'!$A:$D,4,0)&amp;" — "&amp;VLOOKUP(B606,'FLOTA TERCEROS'!$A:$D,3,0),"⚠ No encontrado")))</f>
        <v>AMAROK CS 2.0 140CV — VOLKSWAGEN</v>
      </c>
      <c r="D606" s="38">
        <v>60</v>
      </c>
      <c r="E606" s="39">
        <v>172609</v>
      </c>
      <c r="F606" s="28" t="s">
        <v>118</v>
      </c>
      <c r="G606" s="40" t="s">
        <v>128</v>
      </c>
    </row>
    <row r="607" spans="1:7" ht="18" customHeight="1">
      <c r="A607" s="36">
        <v>46020</v>
      </c>
      <c r="B607" s="37" t="s">
        <v>70</v>
      </c>
      <c r="C607" s="25" t="str">
        <f>IF(B607="","",IFERROR(VLOOKUP(B607,FLOTA!$A:$D,4,0)&amp;" — "&amp;VLOOKUP(B607,FLOTA!$A:$D,3,0),IFERROR(VLOOKUP(B607,'FLOTA TERCEROS'!$A:$D,4,0)&amp;" — "&amp;VLOOKUP(B607,'FLOTA TERCEROS'!$A:$D,3,0),"⚠ No encontrado")))</f>
        <v>TORO — FIAT</v>
      </c>
      <c r="D607" s="38">
        <v>50</v>
      </c>
      <c r="E607" s="39">
        <v>175726</v>
      </c>
      <c r="F607" s="28" t="s">
        <v>121</v>
      </c>
      <c r="G607" s="40" t="s">
        <v>134</v>
      </c>
    </row>
    <row r="608" spans="1:7" ht="18" customHeight="1">
      <c r="A608" s="36">
        <v>46020</v>
      </c>
      <c r="B608" s="37" t="s">
        <v>36</v>
      </c>
      <c r="C608" s="25" t="str">
        <f>IF(B608="","",IFERROR(VLOOKUP(B608,FLOTA!$A:$D,4,0)&amp;" — "&amp;VLOOKUP(B608,FLOTA!$A:$D,3,0),IFERROR(VLOOKUP(B608,'FLOTA TERCEROS'!$A:$D,4,0)&amp;" — "&amp;VLOOKUP(B608,'FLOTA TERCEROS'!$A:$D,3,0),"⚠ No encontrado")))</f>
        <v>HILUX 4X2 CD SRV 3.0 — TOYOTA</v>
      </c>
      <c r="D608" s="38">
        <v>60</v>
      </c>
      <c r="E608" s="39">
        <v>320803</v>
      </c>
      <c r="F608" s="28" t="s">
        <v>112</v>
      </c>
      <c r="G608" s="40" t="s">
        <v>143</v>
      </c>
    </row>
    <row r="609" spans="1:7" ht="18" customHeight="1">
      <c r="A609" s="36">
        <v>46020</v>
      </c>
      <c r="B609" s="37" t="s">
        <v>90</v>
      </c>
      <c r="C609" s="25" t="str">
        <f>IF(B609="","",IFERROR(VLOOKUP(B609,FLOTA!$A:$D,4,0)&amp;" — "&amp;VLOOKUP(B609,FLOTA!$A:$D,3,0),IFERROR(VLOOKUP(B609,'FLOTA TERCEROS'!$A:$D,4,0)&amp;" — "&amp;VLOOKUP(B609,'FLOTA TERCEROS'!$A:$D,3,0),"⚠ No encontrado")))</f>
        <v>RANGER — FORD</v>
      </c>
      <c r="D609" s="38">
        <v>65</v>
      </c>
      <c r="E609" s="39">
        <v>46528</v>
      </c>
      <c r="F609" s="28" t="s">
        <v>116</v>
      </c>
      <c r="G609" s="40" t="s">
        <v>139</v>
      </c>
    </row>
    <row r="610" spans="1:7" ht="18" customHeight="1">
      <c r="A610" s="36">
        <v>46021</v>
      </c>
      <c r="B610" s="37" t="s">
        <v>32</v>
      </c>
      <c r="C610" s="25" t="str">
        <f>IF(B610="","",IFERROR(VLOOKUP(B610,FLOTA!$A:$D,4,0)&amp;" — "&amp;VLOOKUP(B610,FLOTA!$A:$D,3,0),IFERROR(VLOOKUP(B610,'FLOTA TERCEROS'!$A:$D,4,0)&amp;" — "&amp;VLOOKUP(B610,'FLOTA TERCEROS'!$A:$D,3,0),"⚠ No encontrado")))</f>
        <v>PRADO LAND CRUISER — TOYOTA</v>
      </c>
      <c r="D610" s="38">
        <v>55</v>
      </c>
      <c r="E610" s="39">
        <v>448937</v>
      </c>
      <c r="F610" s="28" t="s">
        <v>112</v>
      </c>
      <c r="G610" s="40" t="s">
        <v>143</v>
      </c>
    </row>
    <row r="611" spans="1:7" ht="18" customHeight="1">
      <c r="A611" s="36">
        <v>46021</v>
      </c>
      <c r="B611" s="37" t="s">
        <v>24</v>
      </c>
      <c r="C611" s="25" t="str">
        <f>IF(B611="","",IFERROR(VLOOKUP(B611,FLOTA!$A:$D,4,0)&amp;" — "&amp;VLOOKUP(B611,FLOTA!$A:$D,3,0),IFERROR(VLOOKUP(B611,'FLOTA TERCEROS'!$A:$D,4,0)&amp;" — "&amp;VLOOKUP(B611,'FLOTA TERCEROS'!$A:$D,3,0),"⚠ No encontrado")))</f>
        <v>RANGER 2 CD 4X4 XLS 3.2L — FORD</v>
      </c>
      <c r="D611" s="38">
        <v>65</v>
      </c>
      <c r="E611" s="39">
        <v>254946</v>
      </c>
      <c r="F611" s="28" t="s">
        <v>108</v>
      </c>
      <c r="G611" s="40" t="s">
        <v>140</v>
      </c>
    </row>
    <row r="612" spans="1:7" ht="18" customHeight="1">
      <c r="A612" s="36">
        <v>46024</v>
      </c>
      <c r="B612" s="37" t="s">
        <v>43</v>
      </c>
      <c r="C612" s="25" t="str">
        <f>IF(B612="","",IFERROR(VLOOKUP(B612,FLOTA!$A:$D,4,0)&amp;" — "&amp;VLOOKUP(B612,FLOTA!$A:$D,3,0),IFERROR(VLOOKUP(B612,'FLOTA TERCEROS'!$A:$D,4,0)&amp;" — "&amp;VLOOKUP(B612,'FLOTA TERCEROS'!$A:$D,3,0),"⚠ No encontrado")))</f>
        <v>AMAROK CS 2.0 140CV — VOLKSWAGEN</v>
      </c>
      <c r="D612" s="38">
        <v>80</v>
      </c>
      <c r="E612" s="39">
        <v>173422</v>
      </c>
      <c r="F612" s="28" t="s">
        <v>118</v>
      </c>
      <c r="G612" s="40" t="s">
        <v>128</v>
      </c>
    </row>
    <row r="613" spans="1:7" ht="18" customHeight="1">
      <c r="A613" s="36">
        <v>46024</v>
      </c>
      <c r="B613" s="37" t="s">
        <v>53</v>
      </c>
      <c r="C613" s="25" t="str">
        <f>IF(B613="","",IFERROR(VLOOKUP(B613,FLOTA!$A:$D,4,0)&amp;" — "&amp;VLOOKUP(B613,FLOTA!$A:$D,3,0),IFERROR(VLOOKUP(B613,'FLOTA TERCEROS'!$A:$D,4,0)&amp;" — "&amp;VLOOKUP(B613,'FLOTA TERCEROS'!$A:$D,3,0),"⚠ No encontrado")))</f>
        <v>AMAROK DC 2.0L TDI 180CV 4X4 — VOLKSWAGEN</v>
      </c>
      <c r="D613" s="38">
        <v>60</v>
      </c>
      <c r="E613" s="39">
        <v>288613</v>
      </c>
      <c r="F613" s="28" t="s">
        <v>126</v>
      </c>
      <c r="G613" s="40" t="s">
        <v>142</v>
      </c>
    </row>
    <row r="614" spans="1:7" ht="18" customHeight="1">
      <c r="A614" s="36">
        <v>46024</v>
      </c>
      <c r="B614" s="37" t="s">
        <v>66</v>
      </c>
      <c r="C614" s="25" t="str">
        <f>IF(B614="","",IFERROR(VLOOKUP(B614,FLOTA!$A:$D,4,0)&amp;" — "&amp;VLOOKUP(B614,FLOTA!$A:$D,3,0),IFERROR(VLOOKUP(B614,'FLOTA TERCEROS'!$A:$D,4,0)&amp;" — "&amp;VLOOKUP(B614,'FLOTA TERCEROS'!$A:$D,3,0),"⚠ No encontrado")))</f>
        <v>SPRINTER 515 CDIC — MERCEDES BENZ</v>
      </c>
      <c r="D614" s="38">
        <v>60</v>
      </c>
      <c r="E614" s="39">
        <v>141975</v>
      </c>
      <c r="F614" s="28" t="s">
        <v>113</v>
      </c>
      <c r="G614" s="40" t="s">
        <v>133</v>
      </c>
    </row>
    <row r="615" spans="1:7" ht="18" customHeight="1">
      <c r="A615" s="36">
        <v>46024</v>
      </c>
      <c r="B615" s="37" t="s">
        <v>36</v>
      </c>
      <c r="C615" s="25" t="str">
        <f>IF(B615="","",IFERROR(VLOOKUP(B615,FLOTA!$A:$D,4,0)&amp;" — "&amp;VLOOKUP(B615,FLOTA!$A:$D,3,0),IFERROR(VLOOKUP(B615,'FLOTA TERCEROS'!$A:$D,4,0)&amp;" — "&amp;VLOOKUP(B615,'FLOTA TERCEROS'!$A:$D,3,0),"⚠ No encontrado")))</f>
        <v>HILUX 4X2 CD SRV 3.0 — TOYOTA</v>
      </c>
      <c r="D615" s="38">
        <v>80</v>
      </c>
      <c r="E615" s="39">
        <v>321555</v>
      </c>
      <c r="F615" s="28" t="s">
        <v>112</v>
      </c>
      <c r="G615" s="40" t="s">
        <v>143</v>
      </c>
    </row>
    <row r="616" spans="1:7" ht="18" customHeight="1">
      <c r="A616" s="36">
        <v>46027</v>
      </c>
      <c r="B616" s="37" t="s">
        <v>58</v>
      </c>
      <c r="C616" s="25" t="str">
        <f>IF(B616="","",IFERROR(VLOOKUP(B616,FLOTA!$A:$D,4,0)&amp;" — "&amp;VLOOKUP(B616,FLOTA!$A:$D,3,0),IFERROR(VLOOKUP(B616,'FLOTA TERCEROS'!$A:$D,4,0)&amp;" — "&amp;VLOOKUP(B616,'FLOTA TERCEROS'!$A:$D,3,0),"⚠ No encontrado")))</f>
        <v>SPRINTER 515 CDIC — MERCEDES BENZ</v>
      </c>
      <c r="D616" s="38">
        <v>40</v>
      </c>
      <c r="E616" s="39">
        <v>220054</v>
      </c>
      <c r="F616" s="28" t="s">
        <v>112</v>
      </c>
      <c r="G616" s="40" t="s">
        <v>133</v>
      </c>
    </row>
    <row r="617" spans="1:7" ht="18" customHeight="1">
      <c r="A617" s="36">
        <v>46028</v>
      </c>
      <c r="B617" s="37" t="s">
        <v>43</v>
      </c>
      <c r="C617" s="25" t="str">
        <f>IF(B617="","",IFERROR(VLOOKUP(B617,FLOTA!$A:$D,4,0)&amp;" — "&amp;VLOOKUP(B617,FLOTA!$A:$D,3,0),IFERROR(VLOOKUP(B617,'FLOTA TERCEROS'!$A:$D,4,0)&amp;" — "&amp;VLOOKUP(B617,'FLOTA TERCEROS'!$A:$D,3,0),"⚠ No encontrado")))</f>
        <v>AMAROK CS 2.0 140CV — VOLKSWAGEN</v>
      </c>
      <c r="D617" s="38">
        <v>55</v>
      </c>
      <c r="E617" s="39">
        <v>173956</v>
      </c>
      <c r="F617" s="28" t="s">
        <v>118</v>
      </c>
      <c r="G617" s="40" t="s">
        <v>128</v>
      </c>
    </row>
    <row r="618" spans="1:7" ht="18" customHeight="1">
      <c r="A618" s="36">
        <v>46028</v>
      </c>
      <c r="B618" s="37" t="s">
        <v>70</v>
      </c>
      <c r="C618" s="25" t="str">
        <f>IF(B618="","",IFERROR(VLOOKUP(B618,FLOTA!$A:$D,4,0)&amp;" — "&amp;VLOOKUP(B618,FLOTA!$A:$D,3,0),IFERROR(VLOOKUP(B618,'FLOTA TERCEROS'!$A:$D,4,0)&amp;" — "&amp;VLOOKUP(B618,'FLOTA TERCEROS'!$A:$D,3,0),"⚠ No encontrado")))</f>
        <v>TORO — FIAT</v>
      </c>
      <c r="D618" s="38">
        <v>55</v>
      </c>
      <c r="E618" s="39">
        <v>176324</v>
      </c>
      <c r="F618" s="28" t="s">
        <v>121</v>
      </c>
      <c r="G618" s="40" t="s">
        <v>134</v>
      </c>
    </row>
    <row r="619" spans="1:7" ht="18" customHeight="1">
      <c r="A619" s="36">
        <v>46028</v>
      </c>
      <c r="B619" s="37" t="s">
        <v>81</v>
      </c>
      <c r="C619" s="25" t="str">
        <f>IF(B619="","",IFERROR(VLOOKUP(B619,FLOTA!$A:$D,4,0)&amp;" — "&amp;VLOOKUP(B619,FLOTA!$A:$D,3,0),IFERROR(VLOOKUP(B619,'FLOTA TERCEROS'!$A:$D,4,0)&amp;" — "&amp;VLOOKUP(B619,'FLOTA TERCEROS'!$A:$D,3,0),"⚠ No encontrado")))</f>
        <v>RANGER — FORD</v>
      </c>
      <c r="D619" s="38">
        <v>55</v>
      </c>
      <c r="E619" s="39">
        <v>67393</v>
      </c>
      <c r="F619" s="28" t="s">
        <v>114</v>
      </c>
      <c r="G619" s="40" t="s">
        <v>138</v>
      </c>
    </row>
    <row r="620" spans="1:7" ht="18" customHeight="1">
      <c r="A620" s="36">
        <v>46028</v>
      </c>
      <c r="B620" s="37" t="s">
        <v>24</v>
      </c>
      <c r="C620" s="25" t="str">
        <f>IF(B620="","",IFERROR(VLOOKUP(B620,FLOTA!$A:$D,4,0)&amp;" — "&amp;VLOOKUP(B620,FLOTA!$A:$D,3,0),IFERROR(VLOOKUP(B620,'FLOTA TERCEROS'!$A:$D,4,0)&amp;" — "&amp;VLOOKUP(B620,'FLOTA TERCEROS'!$A:$D,3,0),"⚠ No encontrado")))</f>
        <v>RANGER 2 CD 4X4 XLS 3.2L — FORD</v>
      </c>
      <c r="D620" s="38">
        <v>65</v>
      </c>
      <c r="E620" s="39">
        <v>255627</v>
      </c>
      <c r="F620" s="28" t="s">
        <v>108</v>
      </c>
      <c r="G620" s="40" t="s">
        <v>140</v>
      </c>
    </row>
    <row r="621" spans="1:7" ht="18" customHeight="1">
      <c r="A621" s="36">
        <v>46029</v>
      </c>
      <c r="B621" s="37" t="s">
        <v>58</v>
      </c>
      <c r="C621" s="25" t="str">
        <f>IF(B621="","",IFERROR(VLOOKUP(B621,FLOTA!$A:$D,4,0)&amp;" — "&amp;VLOOKUP(B621,FLOTA!$A:$D,3,0),IFERROR(VLOOKUP(B621,'FLOTA TERCEROS'!$A:$D,4,0)&amp;" — "&amp;VLOOKUP(B621,'FLOTA TERCEROS'!$A:$D,3,0),"⚠ No encontrado")))</f>
        <v>SPRINTER 515 CDIC — MERCEDES BENZ</v>
      </c>
      <c r="D621" s="38">
        <v>65</v>
      </c>
      <c r="E621" s="39">
        <v>220454</v>
      </c>
      <c r="F621" s="28" t="s">
        <v>112</v>
      </c>
      <c r="G621" s="40" t="s">
        <v>133</v>
      </c>
    </row>
    <row r="622" spans="1:7" ht="18" customHeight="1">
      <c r="A622" s="36">
        <v>46029</v>
      </c>
      <c r="B622" s="37" t="s">
        <v>90</v>
      </c>
      <c r="C622" s="25" t="str">
        <f>IF(B622="","",IFERROR(VLOOKUP(B622,FLOTA!$A:$D,4,0)&amp;" — "&amp;VLOOKUP(B622,FLOTA!$A:$D,3,0),IFERROR(VLOOKUP(B622,'FLOTA TERCEROS'!$A:$D,4,0)&amp;" — "&amp;VLOOKUP(B622,'FLOTA TERCEROS'!$A:$D,3,0),"⚠ No encontrado")))</f>
        <v>RANGER — FORD</v>
      </c>
      <c r="D622" s="38">
        <v>70</v>
      </c>
      <c r="E622" s="39">
        <v>47173</v>
      </c>
      <c r="F622" s="28" t="s">
        <v>116</v>
      </c>
      <c r="G622" s="40" t="s">
        <v>139</v>
      </c>
    </row>
    <row r="623" spans="1:7" ht="18" customHeight="1">
      <c r="A623" s="36">
        <v>46030</v>
      </c>
      <c r="B623" s="37" t="s">
        <v>36</v>
      </c>
      <c r="C623" s="25" t="str">
        <f>IF(B623="","",IFERROR(VLOOKUP(B623,FLOTA!$A:$D,4,0)&amp;" — "&amp;VLOOKUP(B623,FLOTA!$A:$D,3,0),IFERROR(VLOOKUP(B623,'FLOTA TERCEROS'!$A:$D,4,0)&amp;" — "&amp;VLOOKUP(B623,'FLOTA TERCEROS'!$A:$D,3,0),"⚠ No encontrado")))</f>
        <v>HILUX 4X2 CD SRV 3.0 — TOYOTA</v>
      </c>
      <c r="D623" s="38">
        <v>75</v>
      </c>
      <c r="E623" s="39">
        <v>322346</v>
      </c>
      <c r="F623" s="28" t="s">
        <v>112</v>
      </c>
      <c r="G623" s="40" t="s">
        <v>143</v>
      </c>
    </row>
    <row r="624" spans="1:7" ht="18" customHeight="1">
      <c r="A624" s="36">
        <v>46031</v>
      </c>
      <c r="B624" s="37" t="s">
        <v>66</v>
      </c>
      <c r="C624" s="25" t="str">
        <f>IF(B624="","",IFERROR(VLOOKUP(B624,FLOTA!$A:$D,4,0)&amp;" — "&amp;VLOOKUP(B624,FLOTA!$A:$D,3,0),IFERROR(VLOOKUP(B624,'FLOTA TERCEROS'!$A:$D,4,0)&amp;" — "&amp;VLOOKUP(B624,'FLOTA TERCEROS'!$A:$D,3,0),"⚠ No encontrado")))</f>
        <v>SPRINTER 515 CDIC — MERCEDES BENZ</v>
      </c>
      <c r="D624" s="38">
        <v>65</v>
      </c>
      <c r="E624" s="39">
        <v>142420</v>
      </c>
      <c r="F624" s="28" t="s">
        <v>113</v>
      </c>
      <c r="G624" s="40" t="s">
        <v>133</v>
      </c>
    </row>
    <row r="625" spans="1:7" ht="18" customHeight="1">
      <c r="A625" s="36">
        <v>46032</v>
      </c>
      <c r="B625" s="37" t="s">
        <v>43</v>
      </c>
      <c r="C625" s="25" t="str">
        <f>IF(B625="","",IFERROR(VLOOKUP(B625,FLOTA!$A:$D,4,0)&amp;" — "&amp;VLOOKUP(B625,FLOTA!$A:$D,3,0),IFERROR(VLOOKUP(B625,'FLOTA TERCEROS'!$A:$D,4,0)&amp;" — "&amp;VLOOKUP(B625,'FLOTA TERCEROS'!$A:$D,3,0),"⚠ No encontrado")))</f>
        <v>AMAROK CS 2.0 140CV — VOLKSWAGEN</v>
      </c>
      <c r="D625" s="38">
        <v>55</v>
      </c>
      <c r="E625" s="39">
        <v>174525</v>
      </c>
      <c r="F625" s="28" t="s">
        <v>118</v>
      </c>
      <c r="G625" s="40" t="s">
        <v>128</v>
      </c>
    </row>
    <row r="626" spans="1:7" ht="18" customHeight="1">
      <c r="A626" s="36">
        <v>46034</v>
      </c>
      <c r="B626" s="37" t="s">
        <v>36</v>
      </c>
      <c r="C626" s="25" t="str">
        <f>IF(B626="","",IFERROR(VLOOKUP(B626,FLOTA!$A:$D,4,0)&amp;" — "&amp;VLOOKUP(B626,FLOTA!$A:$D,3,0),IFERROR(VLOOKUP(B626,'FLOTA TERCEROS'!$A:$D,4,0)&amp;" — "&amp;VLOOKUP(B626,'FLOTA TERCEROS'!$A:$D,3,0),"⚠ No encontrado")))</f>
        <v>HILUX 4X2 CD SRV 3.0 — TOYOTA</v>
      </c>
      <c r="D626" s="38">
        <v>60</v>
      </c>
      <c r="E626" s="39">
        <v>322942</v>
      </c>
      <c r="F626" s="28" t="s">
        <v>112</v>
      </c>
      <c r="G626" s="40" t="s">
        <v>143</v>
      </c>
    </row>
    <row r="627" spans="1:7" ht="18" customHeight="1">
      <c r="A627" s="36">
        <v>46035</v>
      </c>
      <c r="B627" s="37" t="s">
        <v>70</v>
      </c>
      <c r="C627" s="25" t="str">
        <f>IF(B627="","",IFERROR(VLOOKUP(B627,FLOTA!$A:$D,4,0)&amp;" — "&amp;VLOOKUP(B627,FLOTA!$A:$D,3,0),IFERROR(VLOOKUP(B627,'FLOTA TERCEROS'!$A:$D,4,0)&amp;" — "&amp;VLOOKUP(B627,'FLOTA TERCEROS'!$A:$D,3,0),"⚠ No encontrado")))</f>
        <v>TORO — FIAT</v>
      </c>
      <c r="D627" s="38">
        <v>50</v>
      </c>
      <c r="E627" s="39">
        <v>176892</v>
      </c>
      <c r="F627" s="28" t="s">
        <v>121</v>
      </c>
      <c r="G627" s="40" t="s">
        <v>134</v>
      </c>
    </row>
    <row r="628" spans="1:7" ht="18" customHeight="1">
      <c r="A628" s="36">
        <v>46035</v>
      </c>
      <c r="B628" s="37" t="s">
        <v>53</v>
      </c>
      <c r="C628" s="25" t="str">
        <f>IF(B628="","",IFERROR(VLOOKUP(B628,FLOTA!$A:$D,4,0)&amp;" — "&amp;VLOOKUP(B628,FLOTA!$A:$D,3,0),IFERROR(VLOOKUP(B628,'FLOTA TERCEROS'!$A:$D,4,0)&amp;" — "&amp;VLOOKUP(B628,'FLOTA TERCEROS'!$A:$D,3,0),"⚠ No encontrado")))</f>
        <v>AMAROK DC 2.0L TDI 180CV 4X4 — VOLKSWAGEN</v>
      </c>
      <c r="D628" s="38">
        <v>35</v>
      </c>
      <c r="E628" s="39">
        <v>288909</v>
      </c>
      <c r="F628" s="28" t="s">
        <v>126</v>
      </c>
      <c r="G628" s="40" t="s">
        <v>142</v>
      </c>
    </row>
    <row r="629" spans="1:7" ht="18" customHeight="1">
      <c r="A629" s="36">
        <v>46035</v>
      </c>
      <c r="B629" s="37" t="s">
        <v>58</v>
      </c>
      <c r="C629" s="25" t="str">
        <f>IF(B629="","",IFERROR(VLOOKUP(B629,FLOTA!$A:$D,4,0)&amp;" — "&amp;VLOOKUP(B629,FLOTA!$A:$D,3,0),IFERROR(VLOOKUP(B629,'FLOTA TERCEROS'!$A:$D,4,0)&amp;" — "&amp;VLOOKUP(B629,'FLOTA TERCEROS'!$A:$D,3,0),"⚠ No encontrado")))</f>
        <v>SPRINTER 515 CDIC — MERCEDES BENZ</v>
      </c>
      <c r="D629" s="38">
        <v>50</v>
      </c>
      <c r="E629" s="39">
        <v>220766</v>
      </c>
      <c r="F629" s="28" t="s">
        <v>111</v>
      </c>
      <c r="G629" s="40" t="s">
        <v>133</v>
      </c>
    </row>
    <row r="630" spans="1:7" ht="18" customHeight="1">
      <c r="A630" s="36">
        <v>46036</v>
      </c>
      <c r="B630" s="37" t="s">
        <v>81</v>
      </c>
      <c r="C630" s="25" t="str">
        <f>IF(B630="","",IFERROR(VLOOKUP(B630,FLOTA!$A:$D,4,0)&amp;" — "&amp;VLOOKUP(B630,FLOTA!$A:$D,3,0),IFERROR(VLOOKUP(B630,'FLOTA TERCEROS'!$A:$D,4,0)&amp;" — "&amp;VLOOKUP(B630,'FLOTA TERCEROS'!$A:$D,3,0),"⚠ No encontrado")))</f>
        <v>RANGER — FORD</v>
      </c>
      <c r="D630" s="38">
        <v>60</v>
      </c>
      <c r="E630" s="39">
        <v>67985</v>
      </c>
      <c r="F630" s="28" t="s">
        <v>114</v>
      </c>
      <c r="G630" s="40" t="s">
        <v>138</v>
      </c>
    </row>
    <row r="631" spans="1:7" ht="18" customHeight="1">
      <c r="A631" s="36">
        <v>46036</v>
      </c>
      <c r="B631" s="37" t="s">
        <v>90</v>
      </c>
      <c r="C631" s="25" t="str">
        <f>IF(B631="","",IFERROR(VLOOKUP(B631,FLOTA!$A:$D,4,0)&amp;" — "&amp;VLOOKUP(B631,FLOTA!$A:$D,3,0),IFERROR(VLOOKUP(B631,'FLOTA TERCEROS'!$A:$D,4,0)&amp;" — "&amp;VLOOKUP(B631,'FLOTA TERCEROS'!$A:$D,3,0),"⚠ No encontrado")))</f>
        <v>RANGER — FORD</v>
      </c>
      <c r="D631" s="38">
        <v>60</v>
      </c>
      <c r="E631" s="39">
        <v>47719</v>
      </c>
      <c r="F631" s="28" t="s">
        <v>116</v>
      </c>
      <c r="G631" s="40" t="s">
        <v>139</v>
      </c>
    </row>
    <row r="632" spans="1:7" ht="18" customHeight="1">
      <c r="A632" s="36">
        <v>46036</v>
      </c>
      <c r="B632" s="37" t="s">
        <v>36</v>
      </c>
      <c r="C632" s="25" t="str">
        <f>IF(B632="","",IFERROR(VLOOKUP(B632,FLOTA!$A:$D,4,0)&amp;" — "&amp;VLOOKUP(B632,FLOTA!$A:$D,3,0),IFERROR(VLOOKUP(B632,'FLOTA TERCEROS'!$A:$D,4,0)&amp;" — "&amp;VLOOKUP(B632,'FLOTA TERCEROS'!$A:$D,3,0),"⚠ No encontrado")))</f>
        <v>HILUX 4X2 CD SRV 3.0 — TOYOTA</v>
      </c>
      <c r="D632" s="38">
        <v>60</v>
      </c>
      <c r="E632" s="39">
        <v>323572</v>
      </c>
      <c r="F632" s="28" t="s">
        <v>112</v>
      </c>
      <c r="G632" s="40" t="s">
        <v>143</v>
      </c>
    </row>
    <row r="633" spans="1:7" ht="18" customHeight="1">
      <c r="A633" s="36">
        <v>46037</v>
      </c>
      <c r="B633" s="37" t="s">
        <v>66</v>
      </c>
      <c r="C633" s="25" t="str">
        <f>IF(B633="","",IFERROR(VLOOKUP(B633,FLOTA!$A:$D,4,0)&amp;" — "&amp;VLOOKUP(B633,FLOTA!$A:$D,3,0),IFERROR(VLOOKUP(B633,'FLOTA TERCEROS'!$A:$D,4,0)&amp;" — "&amp;VLOOKUP(B633,'FLOTA TERCEROS'!$A:$D,3,0),"⚠ No encontrado")))</f>
        <v>SPRINTER 515 CDIC — MERCEDES BENZ</v>
      </c>
      <c r="D633" s="38">
        <v>65</v>
      </c>
      <c r="E633" s="39">
        <v>142870</v>
      </c>
      <c r="F633" s="28" t="s">
        <v>112</v>
      </c>
      <c r="G633" s="40" t="s">
        <v>133</v>
      </c>
    </row>
    <row r="634" spans="1:7" ht="18" customHeight="1">
      <c r="A634" s="36">
        <v>46038</v>
      </c>
      <c r="B634" s="37" t="s">
        <v>36</v>
      </c>
      <c r="C634" s="25" t="str">
        <f>IF(B634="","",IFERROR(VLOOKUP(B634,FLOTA!$A:$D,4,0)&amp;" — "&amp;VLOOKUP(B634,FLOTA!$A:$D,3,0),IFERROR(VLOOKUP(B634,'FLOTA TERCEROS'!$A:$D,4,0)&amp;" — "&amp;VLOOKUP(B634,'FLOTA TERCEROS'!$A:$D,3,0),"⚠ No encontrado")))</f>
        <v>HILUX 4X2 CD SRV 3.0 — TOYOTA</v>
      </c>
      <c r="D634" s="38">
        <v>60</v>
      </c>
      <c r="E634" s="39">
        <v>324206</v>
      </c>
      <c r="F634" s="28" t="s">
        <v>112</v>
      </c>
      <c r="G634" s="40" t="s">
        <v>143</v>
      </c>
    </row>
    <row r="635" spans="1:7" ht="18" customHeight="1">
      <c r="A635" s="36">
        <v>46038</v>
      </c>
      <c r="B635" s="37" t="s">
        <v>24</v>
      </c>
      <c r="C635" s="25" t="str">
        <f>IF(B635="","",IFERROR(VLOOKUP(B635,FLOTA!$A:$D,4,0)&amp;" — "&amp;VLOOKUP(B635,FLOTA!$A:$D,3,0),IFERROR(VLOOKUP(B635,'FLOTA TERCEROS'!$A:$D,4,0)&amp;" — "&amp;VLOOKUP(B635,'FLOTA TERCEROS'!$A:$D,3,0),"⚠ No encontrado")))</f>
        <v>RANGER 2 CD 4X4 XLS 3.2L — FORD</v>
      </c>
      <c r="D635" s="38">
        <v>80</v>
      </c>
      <c r="E635" s="39">
        <v>256735</v>
      </c>
      <c r="F635" s="28" t="s">
        <v>108</v>
      </c>
      <c r="G635" s="40" t="s">
        <v>140</v>
      </c>
    </row>
    <row r="636" spans="1:7" ht="18" customHeight="1">
      <c r="A636" s="36">
        <v>46038</v>
      </c>
      <c r="B636" s="37" t="s">
        <v>43</v>
      </c>
      <c r="C636" s="25" t="str">
        <f>IF(B636="","",IFERROR(VLOOKUP(B636,FLOTA!$A:$D,4,0)&amp;" — "&amp;VLOOKUP(B636,FLOTA!$A:$D,3,0),IFERROR(VLOOKUP(B636,'FLOTA TERCEROS'!$A:$D,4,0)&amp;" — "&amp;VLOOKUP(B636,'FLOTA TERCEROS'!$A:$D,3,0),"⚠ No encontrado")))</f>
        <v>AMAROK CS 2.0 140CV — VOLKSWAGEN</v>
      </c>
      <c r="D636" s="38">
        <v>60</v>
      </c>
      <c r="E636" s="39">
        <v>175120</v>
      </c>
      <c r="F636" s="28" t="s">
        <v>118</v>
      </c>
      <c r="G636" s="40" t="s">
        <v>128</v>
      </c>
    </row>
    <row r="637" spans="1:7" ht="18" customHeight="1">
      <c r="A637" s="36">
        <v>46038</v>
      </c>
      <c r="B637" s="37" t="s">
        <v>70</v>
      </c>
      <c r="C637" s="25" t="str">
        <f>IF(B637="","",IFERROR(VLOOKUP(B637,FLOTA!$A:$D,4,0)&amp;" — "&amp;VLOOKUP(B637,FLOTA!$A:$D,3,0),IFERROR(VLOOKUP(B637,'FLOTA TERCEROS'!$A:$D,4,0)&amp;" — "&amp;VLOOKUP(B637,'FLOTA TERCEROS'!$A:$D,3,0),"⚠ No encontrado")))</f>
        <v>TORO — FIAT</v>
      </c>
      <c r="D637" s="38">
        <v>45</v>
      </c>
      <c r="E637" s="39">
        <v>177378</v>
      </c>
      <c r="F637" s="28" t="s">
        <v>121</v>
      </c>
      <c r="G637" s="40" t="s">
        <v>134</v>
      </c>
    </row>
    <row r="638" spans="1:7" ht="18" customHeight="1">
      <c r="A638" s="36">
        <v>46039</v>
      </c>
      <c r="B638" s="37" t="s">
        <v>58</v>
      </c>
      <c r="C638" s="25" t="str">
        <f>IF(B638="","",IFERROR(VLOOKUP(B638,FLOTA!$A:$D,4,0)&amp;" — "&amp;VLOOKUP(B638,FLOTA!$A:$D,3,0),IFERROR(VLOOKUP(B638,'FLOTA TERCEROS'!$A:$D,4,0)&amp;" — "&amp;VLOOKUP(B638,'FLOTA TERCEROS'!$A:$D,3,0),"⚠ No encontrado")))</f>
        <v>SPRINTER 515 CDIC — MERCEDES BENZ</v>
      </c>
      <c r="D638" s="38">
        <v>60</v>
      </c>
      <c r="E638" s="39">
        <v>221140</v>
      </c>
      <c r="F638" s="28" t="s">
        <v>111</v>
      </c>
      <c r="G638" s="40" t="s">
        <v>133</v>
      </c>
    </row>
    <row r="639" spans="1:7" ht="18" customHeight="1">
      <c r="A639" s="36">
        <v>46041</v>
      </c>
      <c r="B639" s="37" t="s">
        <v>32</v>
      </c>
      <c r="C639" s="25" t="str">
        <f>IF(B639="","",IFERROR(VLOOKUP(B639,FLOTA!$A:$D,4,0)&amp;" — "&amp;VLOOKUP(B639,FLOTA!$A:$D,3,0),IFERROR(VLOOKUP(B639,'FLOTA TERCEROS'!$A:$D,4,0)&amp;" — "&amp;VLOOKUP(B639,'FLOTA TERCEROS'!$A:$D,3,0),"⚠ No encontrado")))</f>
        <v>PRADO LAND CRUISER — TOYOTA</v>
      </c>
      <c r="D639" s="38">
        <v>50</v>
      </c>
      <c r="E639" s="39">
        <v>449258</v>
      </c>
      <c r="F639" s="28" t="s">
        <v>112</v>
      </c>
      <c r="G639" s="40" t="s">
        <v>143</v>
      </c>
    </row>
    <row r="640" spans="1:7" ht="18" customHeight="1">
      <c r="A640" s="36">
        <v>46043</v>
      </c>
      <c r="B640" s="37" t="s">
        <v>36</v>
      </c>
      <c r="C640" s="25" t="str">
        <f>IF(B640="","",IFERROR(VLOOKUP(B640,FLOTA!$A:$D,4,0)&amp;" — "&amp;VLOOKUP(B640,FLOTA!$A:$D,3,0),IFERROR(VLOOKUP(B640,'FLOTA TERCEROS'!$A:$D,4,0)&amp;" — "&amp;VLOOKUP(B640,'FLOTA TERCEROS'!$A:$D,3,0),"⚠ No encontrado")))</f>
        <v>HILUX 4X2 CD SRV 3.0 — TOYOTA</v>
      </c>
      <c r="D640" s="38">
        <v>55</v>
      </c>
      <c r="E640" s="39">
        <v>324805</v>
      </c>
      <c r="F640" s="28" t="s">
        <v>112</v>
      </c>
      <c r="G640" s="40" t="s">
        <v>143</v>
      </c>
    </row>
    <row r="641" spans="1:7" ht="18" customHeight="1">
      <c r="A641" s="36">
        <v>46043</v>
      </c>
      <c r="B641" s="37" t="s">
        <v>70</v>
      </c>
      <c r="C641" s="25" t="str">
        <f>IF(B641="","",IFERROR(VLOOKUP(B641,FLOTA!$A:$D,4,0)&amp;" — "&amp;VLOOKUP(B641,FLOTA!$A:$D,3,0),IFERROR(VLOOKUP(B641,'FLOTA TERCEROS'!$A:$D,4,0)&amp;" — "&amp;VLOOKUP(B641,'FLOTA TERCEROS'!$A:$D,3,0),"⚠ No encontrado")))</f>
        <v>TORO — FIAT</v>
      </c>
      <c r="D641" s="38">
        <v>50</v>
      </c>
      <c r="E641" s="39">
        <v>178013</v>
      </c>
      <c r="F641" s="28" t="s">
        <v>121</v>
      </c>
      <c r="G641" s="40" t="s">
        <v>134</v>
      </c>
    </row>
    <row r="642" spans="1:7" ht="18" customHeight="1">
      <c r="A642" s="36">
        <v>46043</v>
      </c>
      <c r="B642" s="37" t="s">
        <v>43</v>
      </c>
      <c r="C642" s="25" t="str">
        <f>IF(B642="","",IFERROR(VLOOKUP(B642,FLOTA!$A:$D,4,0)&amp;" — "&amp;VLOOKUP(B642,FLOTA!$A:$D,3,0),IFERROR(VLOOKUP(B642,'FLOTA TERCEROS'!$A:$D,4,0)&amp;" — "&amp;VLOOKUP(B642,'FLOTA TERCEROS'!$A:$D,3,0),"⚠ No encontrado")))</f>
        <v>AMAROK CS 2.0 140CV — VOLKSWAGEN</v>
      </c>
      <c r="D642" s="38">
        <v>65</v>
      </c>
      <c r="E642" s="39">
        <v>175792</v>
      </c>
      <c r="F642" s="28" t="s">
        <v>127</v>
      </c>
      <c r="G642" s="40" t="s">
        <v>128</v>
      </c>
    </row>
    <row r="643" spans="1:7" ht="18" customHeight="1">
      <c r="A643" s="36">
        <v>46045</v>
      </c>
      <c r="B643" s="37" t="s">
        <v>66</v>
      </c>
      <c r="C643" s="25" t="str">
        <f>IF(B643="","",IFERROR(VLOOKUP(B643,FLOTA!$A:$D,4,0)&amp;" — "&amp;VLOOKUP(B643,FLOTA!$A:$D,3,0),IFERROR(VLOOKUP(B643,'FLOTA TERCEROS'!$A:$D,4,0)&amp;" — "&amp;VLOOKUP(B643,'FLOTA TERCEROS'!$A:$D,3,0),"⚠ No encontrado")))</f>
        <v>SPRINTER 515 CDIC — MERCEDES BENZ</v>
      </c>
      <c r="D643" s="38">
        <v>75</v>
      </c>
      <c r="E643" s="39">
        <v>143442</v>
      </c>
      <c r="F643" s="28" t="s">
        <v>112</v>
      </c>
      <c r="G643" s="40" t="s">
        <v>133</v>
      </c>
    </row>
    <row r="644" spans="1:7" ht="18" customHeight="1">
      <c r="A644" s="36">
        <v>46045</v>
      </c>
      <c r="B644" s="37" t="s">
        <v>36</v>
      </c>
      <c r="C644" s="25" t="str">
        <f>IF(B644="","",IFERROR(VLOOKUP(B644,FLOTA!$A:$D,4,0)&amp;" — "&amp;VLOOKUP(B644,FLOTA!$A:$D,3,0),IFERROR(VLOOKUP(B644,'FLOTA TERCEROS'!$A:$D,4,0)&amp;" — "&amp;VLOOKUP(B644,'FLOTA TERCEROS'!$A:$D,3,0),"⚠ No encontrado")))</f>
        <v>HILUX 4X2 CD SRV 3.0 — TOYOTA</v>
      </c>
      <c r="D644" s="38">
        <v>55</v>
      </c>
      <c r="E644" s="39">
        <v>325394</v>
      </c>
      <c r="F644" s="28" t="s">
        <v>112</v>
      </c>
      <c r="G644" s="40" t="s">
        <v>143</v>
      </c>
    </row>
    <row r="645" spans="1:7">
      <c r="A645" s="36">
        <v>46045</v>
      </c>
      <c r="B645" s="37" t="s">
        <v>81</v>
      </c>
      <c r="C645" s="25" t="str">
        <f>IF(B645="","",IFERROR(VLOOKUP(B645,FLOTA!$A:$D,4,0)&amp;" — "&amp;VLOOKUP(B645,FLOTA!$A:$D,3,0),IFERROR(VLOOKUP(B645,'FLOTA TERCEROS'!$A:$D,4,0)&amp;" — "&amp;VLOOKUP(B645,'FLOTA TERCEROS'!$A:$D,3,0),"⚠ No encontrado")))</f>
        <v>RANGER — FORD</v>
      </c>
      <c r="D645" s="38">
        <v>70</v>
      </c>
      <c r="E645" s="39">
        <v>68636</v>
      </c>
      <c r="F645" s="28" t="s">
        <v>114</v>
      </c>
      <c r="G645" s="40" t="s">
        <v>138</v>
      </c>
    </row>
    <row r="646" spans="1:7">
      <c r="A646" s="36">
        <v>46045</v>
      </c>
      <c r="B646" s="37" t="s">
        <v>24</v>
      </c>
      <c r="C646" s="25" t="str">
        <f>IF(B646="","",IFERROR(VLOOKUP(B646,FLOTA!$A:$D,4,0)&amp;" — "&amp;VLOOKUP(B646,FLOTA!$A:$D,3,0),IFERROR(VLOOKUP(B646,'FLOTA TERCEROS'!$A:$D,4,0)&amp;" — "&amp;VLOOKUP(B646,'FLOTA TERCEROS'!$A:$D,3,0),"⚠ No encontrado")))</f>
        <v>RANGER 2 CD 4X4 XLS 3.2L — FORD</v>
      </c>
      <c r="D646" s="38">
        <v>75</v>
      </c>
      <c r="E646" s="39">
        <v>257595</v>
      </c>
      <c r="F646" s="28" t="s">
        <v>108</v>
      </c>
      <c r="G646" s="40" t="s">
        <v>140</v>
      </c>
    </row>
    <row r="647" spans="1:7">
      <c r="A647" s="36">
        <v>46045</v>
      </c>
      <c r="B647" s="37" t="s">
        <v>58</v>
      </c>
      <c r="C647" s="25" t="str">
        <f>IF(B647="","",IFERROR(VLOOKUP(B647,FLOTA!$A:$D,4,0)&amp;" — "&amp;VLOOKUP(B647,FLOTA!$A:$D,3,0),IFERROR(VLOOKUP(B647,'FLOTA TERCEROS'!$A:$D,4,0)&amp;" — "&amp;VLOOKUP(B647,'FLOTA TERCEROS'!$A:$D,3,0),"⚠ No encontrado")))</f>
        <v>SPRINTER 515 CDIC — MERCEDES BENZ</v>
      </c>
      <c r="D647" s="38">
        <v>55</v>
      </c>
      <c r="E647" s="39">
        <v>221513</v>
      </c>
      <c r="F647" s="28" t="s">
        <v>111</v>
      </c>
      <c r="G647" s="40" t="s">
        <v>133</v>
      </c>
    </row>
    <row r="648" spans="1:7">
      <c r="A648" s="36">
        <v>46045</v>
      </c>
      <c r="B648" s="37" t="s">
        <v>90</v>
      </c>
      <c r="C648" s="25" t="str">
        <f>IF(B648="","",IFERROR(VLOOKUP(B648,FLOTA!$A:$D,4,0)&amp;" — "&amp;VLOOKUP(B648,FLOTA!$A:$D,3,0),IFERROR(VLOOKUP(B648,'FLOTA TERCEROS'!$A:$D,4,0)&amp;" — "&amp;VLOOKUP(B648,'FLOTA TERCEROS'!$A:$D,3,0),"⚠ No encontrado")))</f>
        <v>RANGER — FORD</v>
      </c>
      <c r="D648" s="38">
        <v>75</v>
      </c>
      <c r="E648" s="39">
        <v>48601</v>
      </c>
      <c r="F648" s="28" t="s">
        <v>116</v>
      </c>
      <c r="G648" s="40" t="s">
        <v>139</v>
      </c>
    </row>
    <row r="649" spans="1:7">
      <c r="A649" s="36">
        <v>46049</v>
      </c>
      <c r="B649" s="37" t="s">
        <v>70</v>
      </c>
      <c r="C649" s="25" t="str">
        <f>IF(B649="","",IFERROR(VLOOKUP(B649,FLOTA!$A:$D,4,0)&amp;" — "&amp;VLOOKUP(B649,FLOTA!$A:$D,3,0),IFERROR(VLOOKUP(B649,'FLOTA TERCEROS'!$A:$D,4,0)&amp;" — "&amp;VLOOKUP(B649,'FLOTA TERCEROS'!$A:$D,3,0),"⚠ No encontrado")))</f>
        <v>TORO — FIAT</v>
      </c>
      <c r="D649" s="38">
        <v>50</v>
      </c>
      <c r="E649" s="39">
        <v>178572</v>
      </c>
      <c r="F649" s="28" t="s">
        <v>121</v>
      </c>
      <c r="G649" s="40" t="s">
        <v>134</v>
      </c>
    </row>
    <row r="650" spans="1:7">
      <c r="A650" s="36">
        <v>46050</v>
      </c>
      <c r="B650" s="37" t="s">
        <v>58</v>
      </c>
      <c r="C650" s="25" t="str">
        <f>IF(B650="","",IFERROR(VLOOKUP(B650,FLOTA!$A:$D,4,0)&amp;" — "&amp;VLOOKUP(B650,FLOTA!$A:$D,3,0),IFERROR(VLOOKUP(B650,'FLOTA TERCEROS'!$A:$D,4,0)&amp;" — "&amp;VLOOKUP(B650,'FLOTA TERCEROS'!$A:$D,3,0),"⚠ No encontrado")))</f>
        <v>SPRINTER 515 CDIC — MERCEDES BENZ</v>
      </c>
      <c r="D650" s="38">
        <v>45</v>
      </c>
      <c r="E650" s="39">
        <v>221811</v>
      </c>
      <c r="F650" s="28" t="s">
        <v>111</v>
      </c>
      <c r="G650" s="40" t="s">
        <v>133</v>
      </c>
    </row>
    <row r="651" spans="1:7">
      <c r="A651" s="36">
        <v>46050</v>
      </c>
      <c r="B651" s="37" t="s">
        <v>66</v>
      </c>
      <c r="C651" s="25" t="str">
        <f>IF(B651="","",IFERROR(VLOOKUP(B651,FLOTA!$A:$D,4,0)&amp;" — "&amp;VLOOKUP(B651,FLOTA!$A:$D,3,0),IFERROR(VLOOKUP(B651,'FLOTA TERCEROS'!$A:$D,4,0)&amp;" — "&amp;VLOOKUP(B651,'FLOTA TERCEROS'!$A:$D,3,0),"⚠ No encontrado")))</f>
        <v>SPRINTER 515 CDIC — MERCEDES BENZ</v>
      </c>
      <c r="D651" s="38">
        <v>55</v>
      </c>
      <c r="E651" s="39">
        <v>143841</v>
      </c>
      <c r="F651" s="28" t="s">
        <v>113</v>
      </c>
      <c r="G651" s="40" t="s">
        <v>133</v>
      </c>
    </row>
    <row r="652" spans="1:7">
      <c r="A652" s="36">
        <v>46050</v>
      </c>
      <c r="B652" s="37" t="s">
        <v>36</v>
      </c>
      <c r="C652" s="25" t="str">
        <f>IF(B652="","",IFERROR(VLOOKUP(B652,FLOTA!$A:$D,4,0)&amp;" — "&amp;VLOOKUP(B652,FLOTA!$A:$D,3,0),IFERROR(VLOOKUP(B652,'FLOTA TERCEROS'!$A:$D,4,0)&amp;" — "&amp;VLOOKUP(B652,'FLOTA TERCEROS'!$A:$D,3,0),"⚠ No encontrado")))</f>
        <v>HILUX 4X2 CD SRV 3.0 — TOYOTA</v>
      </c>
      <c r="D652" s="38">
        <v>65</v>
      </c>
      <c r="E652" s="39">
        <v>326026</v>
      </c>
      <c r="F652" s="28" t="s">
        <v>112</v>
      </c>
      <c r="G652" s="40" t="s">
        <v>143</v>
      </c>
    </row>
    <row r="653" spans="1:7">
      <c r="A653" s="36">
        <v>46050</v>
      </c>
      <c r="B653" s="37" t="s">
        <v>49</v>
      </c>
      <c r="C653" s="25" t="str">
        <f>IF(B653="","",IFERROR(VLOOKUP(B653,FLOTA!$A:$D,4,0)&amp;" — "&amp;VLOOKUP(B653,FLOTA!$A:$D,3,0),IFERROR(VLOOKUP(B653,'FLOTA TERCEROS'!$A:$D,4,0)&amp;" — "&amp;VLOOKUP(B653,'FLOTA TERCEROS'!$A:$D,3,0),"⚠ No encontrado")))</f>
        <v>AMAROK CD 2.0 4X4 180CV — VOLKSWAGEN</v>
      </c>
      <c r="D653" s="38">
        <v>60</v>
      </c>
      <c r="E653" s="39">
        <v>217048</v>
      </c>
      <c r="F653" s="28" t="s">
        <v>112</v>
      </c>
      <c r="G653" s="40" t="s">
        <v>143</v>
      </c>
    </row>
    <row r="654" spans="1:7">
      <c r="A654" s="36">
        <v>46050</v>
      </c>
      <c r="B654" s="37" t="s">
        <v>90</v>
      </c>
      <c r="C654" s="25" t="str">
        <f>IF(B654="","",IFERROR(VLOOKUP(B654,FLOTA!$A:$D,4,0)&amp;" — "&amp;VLOOKUP(B654,FLOTA!$A:$D,3,0),IFERROR(VLOOKUP(B654,'FLOTA TERCEROS'!$A:$D,4,0)&amp;" — "&amp;VLOOKUP(B654,'FLOTA TERCEROS'!$A:$D,3,0),"⚠ No encontrado")))</f>
        <v>RANGER — FORD</v>
      </c>
      <c r="D654" s="38">
        <v>40</v>
      </c>
      <c r="E654" s="39">
        <v>48952</v>
      </c>
      <c r="F654" s="28" t="s">
        <v>116</v>
      </c>
      <c r="G654" s="40" t="s">
        <v>139</v>
      </c>
    </row>
    <row r="655" spans="1:7">
      <c r="A655" s="36">
        <v>46050</v>
      </c>
      <c r="B655" s="37" t="s">
        <v>53</v>
      </c>
      <c r="C655" s="25" t="str">
        <f>IF(B655="","",IFERROR(VLOOKUP(B655,FLOTA!$A:$D,4,0)&amp;" — "&amp;VLOOKUP(B655,FLOTA!$A:$D,3,0),IFERROR(VLOOKUP(B655,'FLOTA TERCEROS'!$A:$D,4,0)&amp;" — "&amp;VLOOKUP(B655,'FLOTA TERCEROS'!$A:$D,3,0),"⚠ No encontrado")))</f>
        <v>AMAROK DC 2.0L TDI 180CV 4X4 — VOLKSWAGEN</v>
      </c>
      <c r="D655" s="38">
        <v>50</v>
      </c>
      <c r="E655" s="39">
        <v>289412</v>
      </c>
      <c r="F655" s="28" t="s">
        <v>126</v>
      </c>
      <c r="G655" s="40" t="s">
        <v>142</v>
      </c>
    </row>
    <row r="656" spans="1:7">
      <c r="A656" s="36">
        <v>46050</v>
      </c>
      <c r="B656" s="37" t="s">
        <v>43</v>
      </c>
      <c r="C656" s="25" t="str">
        <f>IF(B656="","",IFERROR(VLOOKUP(B656,FLOTA!$A:$D,4,0)&amp;" — "&amp;VLOOKUP(B656,FLOTA!$A:$D,3,0),IFERROR(VLOOKUP(B656,'FLOTA TERCEROS'!$A:$D,4,0)&amp;" — "&amp;VLOOKUP(B656,'FLOTA TERCEROS'!$A:$D,3,0),"⚠ No encontrado")))</f>
        <v>AMAROK CS 2.0 140CV — VOLKSWAGEN</v>
      </c>
      <c r="D656" s="38">
        <v>80</v>
      </c>
      <c r="E656" s="39">
        <v>176609</v>
      </c>
      <c r="F656" s="28" t="s">
        <v>127</v>
      </c>
      <c r="G656" s="40" t="s">
        <v>128</v>
      </c>
    </row>
    <row r="657" spans="1:7">
      <c r="A657" s="36">
        <v>46055</v>
      </c>
      <c r="B657" s="37" t="s">
        <v>36</v>
      </c>
      <c r="C657" s="25" t="str">
        <f>IF(B657="","",IFERROR(VLOOKUP(B657,FLOTA!$A:$D,4,0)&amp;" — "&amp;VLOOKUP(B657,FLOTA!$A:$D,3,0),IFERROR(VLOOKUP(B657,'FLOTA TERCEROS'!$A:$D,4,0)&amp;" — "&amp;VLOOKUP(B657,'FLOTA TERCEROS'!$A:$D,3,0),"⚠ No encontrado")))</f>
        <v>HILUX 4X2 CD SRV 3.0 — TOYOTA</v>
      </c>
      <c r="D657" s="38">
        <v>75</v>
      </c>
      <c r="E657" s="39">
        <v>326754</v>
      </c>
      <c r="F657" s="28" t="s">
        <v>112</v>
      </c>
      <c r="G657" s="40" t="s">
        <v>143</v>
      </c>
    </row>
    <row r="658" spans="1:7">
      <c r="A658" s="36">
        <v>46055</v>
      </c>
      <c r="B658" s="37" t="s">
        <v>70</v>
      </c>
      <c r="C658" s="25" t="str">
        <f>IF(B658="","",IFERROR(VLOOKUP(B658,FLOTA!$A:$D,4,0)&amp;" — "&amp;VLOOKUP(B658,FLOTA!$A:$D,3,0),IFERROR(VLOOKUP(B658,'FLOTA TERCEROS'!$A:$D,4,0)&amp;" — "&amp;VLOOKUP(B658,'FLOTA TERCEROS'!$A:$D,3,0),"⚠ No encontrado")))</f>
        <v>TORO — FIAT</v>
      </c>
      <c r="D658" s="38">
        <v>45</v>
      </c>
      <c r="E658" s="39">
        <v>179058</v>
      </c>
      <c r="F658" s="28" t="s">
        <v>121</v>
      </c>
      <c r="G658" s="40" t="s">
        <v>134</v>
      </c>
    </row>
    <row r="659" spans="1:7">
      <c r="A659" s="36">
        <v>46055</v>
      </c>
      <c r="B659" s="37" t="s">
        <v>24</v>
      </c>
      <c r="C659" s="25" t="str">
        <f>IF(B659="","",IFERROR(VLOOKUP(B659,FLOTA!$A:$D,4,0)&amp;" — "&amp;VLOOKUP(B659,FLOTA!$A:$D,3,0),IFERROR(VLOOKUP(B659,'FLOTA TERCEROS'!$A:$D,4,0)&amp;" — "&amp;VLOOKUP(B659,'FLOTA TERCEROS'!$A:$D,3,0),"⚠ No encontrado")))</f>
        <v>RANGER 2 CD 4X4 XLS 3.2L — FORD</v>
      </c>
      <c r="D659" s="38">
        <v>80</v>
      </c>
      <c r="E659" s="39">
        <v>258539</v>
      </c>
      <c r="F659" s="28" t="s">
        <v>108</v>
      </c>
      <c r="G659" s="40" t="s">
        <v>140</v>
      </c>
    </row>
    <row r="660" spans="1:7">
      <c r="A660" s="36">
        <v>46055</v>
      </c>
      <c r="B660" s="37" t="s">
        <v>58</v>
      </c>
      <c r="C660" s="25" t="str">
        <f>IF(B660="","",IFERROR(VLOOKUP(B660,FLOTA!$A:$D,4,0)&amp;" — "&amp;VLOOKUP(B660,FLOTA!$A:$D,3,0),IFERROR(VLOOKUP(B660,'FLOTA TERCEROS'!$A:$D,4,0)&amp;" — "&amp;VLOOKUP(B660,'FLOTA TERCEROS'!$A:$D,3,0),"⚠ No encontrado")))</f>
        <v>SPRINTER 515 CDIC — MERCEDES BENZ</v>
      </c>
      <c r="D660" s="38">
        <v>65</v>
      </c>
      <c r="E660" s="39">
        <v>222256</v>
      </c>
      <c r="F660" s="28" t="s">
        <v>111</v>
      </c>
      <c r="G660" s="40" t="s">
        <v>133</v>
      </c>
    </row>
    <row r="661" spans="1:7">
      <c r="A661" s="36">
        <v>46056</v>
      </c>
      <c r="B661" s="37" t="s">
        <v>66</v>
      </c>
      <c r="C661" s="25" t="str">
        <f>IF(B661="","",IFERROR(VLOOKUP(B661,FLOTA!$A:$D,4,0)&amp;" — "&amp;VLOOKUP(B661,FLOTA!$A:$D,3,0),IFERROR(VLOOKUP(B661,'FLOTA TERCEROS'!$A:$D,4,0)&amp;" — "&amp;VLOOKUP(B661,'FLOTA TERCEROS'!$A:$D,3,0),"⚠ No encontrado")))</f>
        <v>SPRINTER 515 CDIC — MERCEDES BENZ</v>
      </c>
      <c r="D661" s="38">
        <v>70</v>
      </c>
      <c r="E661" s="39">
        <v>144320</v>
      </c>
      <c r="F661" s="28" t="s">
        <v>113</v>
      </c>
      <c r="G661" s="40" t="s">
        <v>133</v>
      </c>
    </row>
    <row r="662" spans="1:7">
      <c r="A662" s="36">
        <v>46057</v>
      </c>
      <c r="B662" s="37" t="s">
        <v>36</v>
      </c>
      <c r="C662" s="25" t="str">
        <f>IF(B662="","",IFERROR(VLOOKUP(B662,FLOTA!$A:$D,4,0)&amp;" — "&amp;VLOOKUP(B662,FLOTA!$A:$D,3,0),IFERROR(VLOOKUP(B662,'FLOTA TERCEROS'!$A:$D,4,0)&amp;" — "&amp;VLOOKUP(B662,'FLOTA TERCEROS'!$A:$D,3,0),"⚠ No encontrado")))</f>
        <v>HILUX 4X2 CD SRV 3.0 — TOYOTA</v>
      </c>
      <c r="D662" s="38">
        <v>55</v>
      </c>
      <c r="E662" s="39">
        <v>327280</v>
      </c>
      <c r="F662" s="28" t="s">
        <v>112</v>
      </c>
      <c r="G662" s="40" t="s">
        <v>143</v>
      </c>
    </row>
    <row r="663" spans="1:7">
      <c r="A663" s="36">
        <v>46057</v>
      </c>
      <c r="B663" s="37" t="s">
        <v>90</v>
      </c>
      <c r="C663" s="25" t="str">
        <f>IF(B663="","",IFERROR(VLOOKUP(B663,FLOTA!$A:$D,4,0)&amp;" — "&amp;VLOOKUP(B663,FLOTA!$A:$D,3,0),IFERROR(VLOOKUP(B663,'FLOTA TERCEROS'!$A:$D,4,0)&amp;" — "&amp;VLOOKUP(B663,'FLOTA TERCEROS'!$A:$D,3,0),"⚠ No encontrado")))</f>
        <v>RANGER — FORD</v>
      </c>
      <c r="D663" s="38">
        <v>65</v>
      </c>
      <c r="E663" s="39">
        <v>49561</v>
      </c>
      <c r="F663" s="28" t="s">
        <v>116</v>
      </c>
      <c r="G663" s="40" t="s">
        <v>139</v>
      </c>
    </row>
    <row r="664" spans="1:7">
      <c r="A664" s="36">
        <v>46057</v>
      </c>
      <c r="B664" s="37" t="s">
        <v>81</v>
      </c>
      <c r="C664" s="25" t="str">
        <f>IF(B664="","",IFERROR(VLOOKUP(B664,FLOTA!$A:$D,4,0)&amp;" — "&amp;VLOOKUP(B664,FLOTA!$A:$D,3,0),IFERROR(VLOOKUP(B664,'FLOTA TERCEROS'!$A:$D,4,0)&amp;" — "&amp;VLOOKUP(B664,'FLOTA TERCEROS'!$A:$D,3,0),"⚠ No encontrado")))</f>
        <v>RANGER — FORD</v>
      </c>
      <c r="D664" s="38">
        <v>65</v>
      </c>
      <c r="E664" s="39">
        <v>69262</v>
      </c>
      <c r="F664" s="28" t="s">
        <v>114</v>
      </c>
      <c r="G664" s="40" t="s">
        <v>138</v>
      </c>
    </row>
    <row r="665" spans="1:7">
      <c r="A665" s="36">
        <v>46057</v>
      </c>
      <c r="B665" s="37" t="s">
        <v>43</v>
      </c>
      <c r="C665" s="25" t="str">
        <f>IF(B665="","",IFERROR(VLOOKUP(B665,FLOTA!$A:$D,4,0)&amp;" — "&amp;VLOOKUP(B665,FLOTA!$A:$D,3,0),IFERROR(VLOOKUP(B665,'FLOTA TERCEROS'!$A:$D,4,0)&amp;" — "&amp;VLOOKUP(B665,'FLOTA TERCEROS'!$A:$D,3,0),"⚠ No encontrado")))</f>
        <v>AMAROK CS 2.0 140CV — VOLKSWAGEN</v>
      </c>
      <c r="D665" s="38">
        <v>80</v>
      </c>
      <c r="E665" s="39">
        <v>177407</v>
      </c>
      <c r="F665" s="28" t="s">
        <v>127</v>
      </c>
      <c r="G665" s="40" t="s">
        <v>128</v>
      </c>
    </row>
    <row r="666" spans="1:7">
      <c r="A666" s="36">
        <v>46058</v>
      </c>
      <c r="B666" s="37" t="s">
        <v>70</v>
      </c>
      <c r="C666" s="25" t="str">
        <f>IF(B666="","",IFERROR(VLOOKUP(B666,FLOTA!$A:$D,4,0)&amp;" — "&amp;VLOOKUP(B666,FLOTA!$A:$D,3,0),IFERROR(VLOOKUP(B666,'FLOTA TERCEROS'!$A:$D,4,0)&amp;" — "&amp;VLOOKUP(B666,'FLOTA TERCEROS'!$A:$D,3,0),"⚠ No encontrado")))</f>
        <v>TORO — FIAT</v>
      </c>
      <c r="D666" s="38">
        <v>65</v>
      </c>
      <c r="E666" s="39">
        <v>179463</v>
      </c>
      <c r="F666" s="28" t="s">
        <v>121</v>
      </c>
      <c r="G666" s="40" t="s">
        <v>134</v>
      </c>
    </row>
    <row r="667" spans="1:7">
      <c r="A667" s="36">
        <v>46059</v>
      </c>
      <c r="B667" s="37" t="s">
        <v>36</v>
      </c>
      <c r="C667" s="25" t="str">
        <f>IF(B667="","",IFERROR(VLOOKUP(B667,FLOTA!$A:$D,4,0)&amp;" — "&amp;VLOOKUP(B667,FLOTA!$A:$D,3,0),IFERROR(VLOOKUP(B667,'FLOTA TERCEROS'!$A:$D,4,0)&amp;" — "&amp;VLOOKUP(B667,'FLOTA TERCEROS'!$A:$D,3,0),"⚠ No encontrado")))</f>
        <v>HILUX 4X2 CD SRV 3.0 — TOYOTA</v>
      </c>
      <c r="D667" s="38">
        <v>60</v>
      </c>
      <c r="E667" s="39">
        <v>327896</v>
      </c>
      <c r="F667" s="28" t="s">
        <v>112</v>
      </c>
      <c r="G667" s="40" t="s">
        <v>143</v>
      </c>
    </row>
    <row r="668" spans="1:7">
      <c r="A668" s="36">
        <v>46059</v>
      </c>
      <c r="B668" s="37" t="s">
        <v>58</v>
      </c>
      <c r="C668" s="25" t="str">
        <f>IF(B668="","",IFERROR(VLOOKUP(B668,FLOTA!$A:$D,4,0)&amp;" — "&amp;VLOOKUP(B668,FLOTA!$A:$D,3,0),IFERROR(VLOOKUP(B668,'FLOTA TERCEROS'!$A:$D,4,0)&amp;" — "&amp;VLOOKUP(B668,'FLOTA TERCEROS'!$A:$D,3,0),"⚠ No encontrado")))</f>
        <v>SPRINTER 515 CDIC — MERCEDES BENZ</v>
      </c>
      <c r="D668" s="38">
        <v>60</v>
      </c>
      <c r="E668" s="39">
        <v>222652</v>
      </c>
      <c r="F668" s="28" t="s">
        <v>111</v>
      </c>
      <c r="G668" s="40" t="s">
        <v>133</v>
      </c>
    </row>
    <row r="669" spans="1:7">
      <c r="A669" s="36">
        <v>46059</v>
      </c>
      <c r="B669" s="37" t="s">
        <v>66</v>
      </c>
      <c r="C669" s="25" t="str">
        <f>IF(B669="","",IFERROR(VLOOKUP(B669,FLOTA!$A:$D,4,0)&amp;" — "&amp;VLOOKUP(B669,FLOTA!$A:$D,3,0),IFERROR(VLOOKUP(B669,'FLOTA TERCEROS'!$A:$D,4,0)&amp;" — "&amp;VLOOKUP(B669,'FLOTA TERCEROS'!$A:$D,3,0),"⚠ No encontrado")))</f>
        <v>SPRINTER 515 CDIC — MERCEDES BENZ</v>
      </c>
      <c r="D669" s="38">
        <v>50</v>
      </c>
      <c r="E669" s="39">
        <v>144668</v>
      </c>
      <c r="F669" s="28" t="s">
        <v>112</v>
      </c>
      <c r="G669" s="40" t="s">
        <v>133</v>
      </c>
    </row>
    <row r="670" spans="1:7">
      <c r="A670" s="36">
        <v>46062</v>
      </c>
      <c r="B670" s="37" t="s">
        <v>81</v>
      </c>
      <c r="C670" s="25" t="str">
        <f>IF(B670="","",IFERROR(VLOOKUP(B670,FLOTA!$A:$D,4,0)&amp;" — "&amp;VLOOKUP(B670,FLOTA!$A:$D,3,0),IFERROR(VLOOKUP(B670,'FLOTA TERCEROS'!$A:$D,4,0)&amp;" — "&amp;VLOOKUP(B670,'FLOTA TERCEROS'!$A:$D,3,0),"⚠ No encontrado")))</f>
        <v>RANGER — FORD</v>
      </c>
      <c r="D670" s="38">
        <v>50</v>
      </c>
      <c r="E670" s="39">
        <v>69911</v>
      </c>
      <c r="F670" s="28" t="s">
        <v>112</v>
      </c>
      <c r="G670" s="40" t="s">
        <v>143</v>
      </c>
    </row>
    <row r="671" spans="1:7">
      <c r="A671" s="36">
        <v>46063</v>
      </c>
      <c r="B671" s="37" t="s">
        <v>90</v>
      </c>
      <c r="C671" s="25" t="str">
        <f>IF(B671="","",IFERROR(VLOOKUP(B671,FLOTA!$A:$D,4,0)&amp;" — "&amp;VLOOKUP(B671,FLOTA!$A:$D,3,0),IFERROR(VLOOKUP(B671,'FLOTA TERCEROS'!$A:$D,4,0)&amp;" — "&amp;VLOOKUP(B671,'FLOTA TERCEROS'!$A:$D,3,0),"⚠ No encontrado")))</f>
        <v>RANGER — FORD</v>
      </c>
      <c r="D671" s="38">
        <v>65</v>
      </c>
      <c r="E671" s="39">
        <v>50180</v>
      </c>
      <c r="F671" s="28" t="s">
        <v>116</v>
      </c>
      <c r="G671" s="40" t="s">
        <v>139</v>
      </c>
    </row>
    <row r="672" spans="1:7">
      <c r="A672" s="36">
        <v>46064</v>
      </c>
      <c r="B672" s="37" t="s">
        <v>53</v>
      </c>
      <c r="C672" s="25" t="str">
        <f>IF(B672="","",IFERROR(VLOOKUP(B672,FLOTA!$A:$D,4,0)&amp;" — "&amp;VLOOKUP(B672,FLOTA!$A:$D,3,0),IFERROR(VLOOKUP(B672,'FLOTA TERCEROS'!$A:$D,4,0)&amp;" — "&amp;VLOOKUP(B672,'FLOTA TERCEROS'!$A:$D,3,0),"⚠ No encontrado")))</f>
        <v>AMAROK DC 2.0L TDI 180CV 4X4 — VOLKSWAGEN</v>
      </c>
      <c r="D672" s="38">
        <v>50</v>
      </c>
      <c r="E672" s="39">
        <v>289946</v>
      </c>
      <c r="F672" s="28" t="s">
        <v>126</v>
      </c>
      <c r="G672" s="40" t="s">
        <v>142</v>
      </c>
    </row>
    <row r="673" spans="1:7">
      <c r="A673" s="36">
        <v>46064</v>
      </c>
      <c r="B673" s="37" t="s">
        <v>24</v>
      </c>
      <c r="C673" s="25" t="str">
        <f>IF(B673="","",IFERROR(VLOOKUP(B673,FLOTA!$A:$D,4,0)&amp;" — "&amp;VLOOKUP(B673,FLOTA!$A:$D,3,0),IFERROR(VLOOKUP(B673,'FLOTA TERCEROS'!$A:$D,4,0)&amp;" — "&amp;VLOOKUP(B673,'FLOTA TERCEROS'!$A:$D,3,0),"⚠ No encontrado")))</f>
        <v>RANGER 2 CD 4X4 XLS 3.2L — FORD</v>
      </c>
      <c r="D673" s="38">
        <v>80</v>
      </c>
      <c r="E673" s="39">
        <v>259724</v>
      </c>
      <c r="F673" s="28" t="s">
        <v>108</v>
      </c>
      <c r="G673" s="40" t="s">
        <v>140</v>
      </c>
    </row>
    <row r="674" spans="1:7">
      <c r="A674" s="36">
        <v>46064</v>
      </c>
      <c r="B674" s="37" t="s">
        <v>70</v>
      </c>
      <c r="C674" s="25" t="str">
        <f>IF(B674="","",IFERROR(VLOOKUP(B674,FLOTA!$A:$D,4,0)&amp;" — "&amp;VLOOKUP(B674,FLOTA!$A:$D,3,0),IFERROR(VLOOKUP(B674,'FLOTA TERCEROS'!$A:$D,4,0)&amp;" — "&amp;VLOOKUP(B674,'FLOTA TERCEROS'!$A:$D,3,0),"⚠ No encontrado")))</f>
        <v>TORO — FIAT</v>
      </c>
      <c r="D674" s="38">
        <v>55</v>
      </c>
      <c r="E674" s="39">
        <v>180009</v>
      </c>
      <c r="F674" s="28" t="s">
        <v>121</v>
      </c>
      <c r="G674" s="40" t="s">
        <v>134</v>
      </c>
    </row>
    <row r="675" spans="1:7">
      <c r="A675" s="36">
        <v>46065</v>
      </c>
      <c r="B675" s="37" t="s">
        <v>66</v>
      </c>
      <c r="C675" s="25" t="str">
        <f>IF(B675="","",IFERROR(VLOOKUP(B675,FLOTA!$A:$D,4,0)&amp;" — "&amp;VLOOKUP(B675,FLOTA!$A:$D,3,0),IFERROR(VLOOKUP(B675,'FLOTA TERCEROS'!$A:$D,4,0)&amp;" — "&amp;VLOOKUP(B675,'FLOTA TERCEROS'!$A:$D,3,0),"⚠ No encontrado")))</f>
        <v>SPRINTER 515 CDIC — MERCEDES BENZ</v>
      </c>
      <c r="D675" s="38">
        <v>60</v>
      </c>
      <c r="E675" s="39">
        <v>145063</v>
      </c>
      <c r="F675" s="28" t="s">
        <v>113</v>
      </c>
      <c r="G675" s="40" t="s">
        <v>133</v>
      </c>
    </row>
    <row r="676" spans="1:7">
      <c r="A676" s="36">
        <v>46065</v>
      </c>
      <c r="B676" s="37" t="s">
        <v>58</v>
      </c>
      <c r="C676" s="25" t="str">
        <f>IF(B676="","",IFERROR(VLOOKUP(B676,FLOTA!$A:$D,4,0)&amp;" — "&amp;VLOOKUP(B676,FLOTA!$A:$D,3,0),IFERROR(VLOOKUP(B676,'FLOTA TERCEROS'!$A:$D,4,0)&amp;" — "&amp;VLOOKUP(B676,'FLOTA TERCEROS'!$A:$D,3,0),"⚠ No encontrado")))</f>
        <v>SPRINTER 515 CDIC — MERCEDES BENZ</v>
      </c>
      <c r="D676" s="38">
        <v>70</v>
      </c>
      <c r="E676" s="39">
        <v>223074</v>
      </c>
      <c r="F676" s="28" t="s">
        <v>112</v>
      </c>
      <c r="G676" s="40" t="s">
        <v>133</v>
      </c>
    </row>
    <row r="677" spans="1:7">
      <c r="A677" s="36">
        <v>46065</v>
      </c>
      <c r="B677" s="37" t="s">
        <v>81</v>
      </c>
      <c r="C677" s="25" t="str">
        <f>IF(B677="","",IFERROR(VLOOKUP(B677,FLOTA!$A:$D,4,0)&amp;" — "&amp;VLOOKUP(B677,FLOTA!$A:$D,3,0),IFERROR(VLOOKUP(B677,'FLOTA TERCEROS'!$A:$D,4,0)&amp;" — "&amp;VLOOKUP(B677,'FLOTA TERCEROS'!$A:$D,3,0),"⚠ No encontrado")))</f>
        <v>RANGER — FORD</v>
      </c>
      <c r="D677" s="38">
        <v>70</v>
      </c>
      <c r="E677" s="39">
        <v>70607</v>
      </c>
      <c r="F677" s="28" t="s">
        <v>112</v>
      </c>
      <c r="G677" s="40" t="s">
        <v>143</v>
      </c>
    </row>
    <row r="678" spans="1:7">
      <c r="A678" s="36">
        <v>46065</v>
      </c>
      <c r="B678" s="37" t="s">
        <v>43</v>
      </c>
      <c r="C678" s="25" t="str">
        <f>IF(B678="","",IFERROR(VLOOKUP(B678,FLOTA!$A:$D,4,0)&amp;" — "&amp;VLOOKUP(B678,FLOTA!$A:$D,3,0),IFERROR(VLOOKUP(B678,'FLOTA TERCEROS'!$A:$D,4,0)&amp;" — "&amp;VLOOKUP(B678,'FLOTA TERCEROS'!$A:$D,3,0),"⚠ No encontrado")))</f>
        <v>AMAROK CS 2.0 140CV — VOLKSWAGEN</v>
      </c>
      <c r="D678" s="38">
        <v>25</v>
      </c>
      <c r="E678" s="39">
        <v>178175</v>
      </c>
      <c r="F678" s="28" t="s">
        <v>127</v>
      </c>
      <c r="G678" s="40" t="s">
        <v>128</v>
      </c>
    </row>
    <row r="679" spans="1:7">
      <c r="A679" s="36">
        <v>46067</v>
      </c>
      <c r="B679" s="37" t="s">
        <v>43</v>
      </c>
      <c r="C679" s="25" t="str">
        <f>IF(B679="","",IFERROR(VLOOKUP(B679,FLOTA!$A:$D,4,0)&amp;" — "&amp;VLOOKUP(B679,FLOTA!$A:$D,3,0),IFERROR(VLOOKUP(B679,'FLOTA TERCEROS'!$A:$D,4,0)&amp;" — "&amp;VLOOKUP(B679,'FLOTA TERCEROS'!$A:$D,3,0),"⚠ No encontrado")))</f>
        <v>AMAROK CS 2.0 140CV — VOLKSWAGEN</v>
      </c>
      <c r="D679" s="38">
        <v>80</v>
      </c>
      <c r="E679" s="39">
        <v>178363</v>
      </c>
      <c r="F679" s="28" t="s">
        <v>127</v>
      </c>
      <c r="G679" s="40" t="s">
        <v>128</v>
      </c>
    </row>
    <row r="680" spans="1:7">
      <c r="A680" s="36">
        <v>46071</v>
      </c>
      <c r="B680" s="37" t="s">
        <v>70</v>
      </c>
      <c r="C680" s="25" t="str">
        <f>IF(B680="","",IFERROR(VLOOKUP(B680,FLOTA!$A:$D,4,0)&amp;" — "&amp;VLOOKUP(B680,FLOTA!$A:$D,3,0),IFERROR(VLOOKUP(B680,'FLOTA TERCEROS'!$A:$D,4,0)&amp;" — "&amp;VLOOKUP(B680,'FLOTA TERCEROS'!$A:$D,3,0),"⚠ No encontrado")))</f>
        <v>TORO — FIAT</v>
      </c>
      <c r="D680" s="38">
        <v>55</v>
      </c>
      <c r="E680" s="39">
        <v>180584</v>
      </c>
      <c r="F680" s="28" t="s">
        <v>121</v>
      </c>
      <c r="G680" s="40" t="s">
        <v>134</v>
      </c>
    </row>
    <row r="681" spans="1:7">
      <c r="A681" s="36">
        <v>46071</v>
      </c>
      <c r="B681" s="37" t="s">
        <v>90</v>
      </c>
      <c r="C681" s="25" t="str">
        <f>IF(B681="","",IFERROR(VLOOKUP(B681,FLOTA!$A:$D,4,0)&amp;" — "&amp;VLOOKUP(B681,FLOTA!$A:$D,3,0),IFERROR(VLOOKUP(B681,'FLOTA TERCEROS'!$A:$D,4,0)&amp;" — "&amp;VLOOKUP(B681,'FLOTA TERCEROS'!$A:$D,3,0),"⚠ No encontrado")))</f>
        <v>RANGER — FORD</v>
      </c>
      <c r="D681" s="38">
        <v>65</v>
      </c>
      <c r="E681" s="39">
        <v>50759</v>
      </c>
      <c r="F681" s="28" t="s">
        <v>116</v>
      </c>
      <c r="G681" s="40" t="s">
        <v>139</v>
      </c>
    </row>
    <row r="682" spans="1:7">
      <c r="A682" s="36">
        <v>46071</v>
      </c>
      <c r="B682" s="37" t="s">
        <v>36</v>
      </c>
      <c r="C682" s="25" t="str">
        <f>IF(B682="","",IFERROR(VLOOKUP(B682,FLOTA!$A:$D,4,0)&amp;" — "&amp;VLOOKUP(B682,FLOTA!$A:$D,3,0),IFERROR(VLOOKUP(B682,'FLOTA TERCEROS'!$A:$D,4,0)&amp;" — "&amp;VLOOKUP(B682,'FLOTA TERCEROS'!$A:$D,3,0),"⚠ No encontrado")))</f>
        <v>HILUX 4X2 CD SRV 3.0 — TOYOTA</v>
      </c>
      <c r="D682" s="38">
        <v>70</v>
      </c>
      <c r="E682" s="39">
        <v>328586</v>
      </c>
      <c r="F682" s="28" t="s">
        <v>112</v>
      </c>
      <c r="G682" s="40" t="s">
        <v>143</v>
      </c>
    </row>
    <row r="683" spans="1:7">
      <c r="A683" s="36">
        <v>46072</v>
      </c>
      <c r="B683" s="37" t="s">
        <v>66</v>
      </c>
      <c r="C683" s="25" t="str">
        <f>IF(B683="","",IFERROR(VLOOKUP(B683,FLOTA!$A:$D,4,0)&amp;" — "&amp;VLOOKUP(B683,FLOTA!$A:$D,3,0),IFERROR(VLOOKUP(B683,'FLOTA TERCEROS'!$A:$D,4,0)&amp;" — "&amp;VLOOKUP(B683,'FLOTA TERCEROS'!$A:$D,3,0),"⚠ No encontrado")))</f>
        <v>SPRINTER 515 CDIC — MERCEDES BENZ</v>
      </c>
      <c r="D683" s="38">
        <v>50</v>
      </c>
      <c r="E683" s="39">
        <v>145457</v>
      </c>
      <c r="F683" s="28" t="s">
        <v>112</v>
      </c>
      <c r="G683" s="40" t="s">
        <v>133</v>
      </c>
    </row>
    <row r="684" spans="1:7">
      <c r="A684" s="36">
        <v>46072</v>
      </c>
      <c r="B684" s="37" t="s">
        <v>58</v>
      </c>
      <c r="C684" s="25" t="str">
        <f>IF(B684="","",IFERROR(VLOOKUP(B684,FLOTA!$A:$D,4,0)&amp;" — "&amp;VLOOKUP(B684,FLOTA!$A:$D,3,0),IFERROR(VLOOKUP(B684,'FLOTA TERCEROS'!$A:$D,4,0)&amp;" — "&amp;VLOOKUP(B684,'FLOTA TERCEROS'!$A:$D,3,0),"⚠ No encontrado")))</f>
        <v>SPRINTER 515 CDIC — MERCEDES BENZ</v>
      </c>
      <c r="D684" s="38">
        <v>40</v>
      </c>
      <c r="E684" s="39">
        <v>223299</v>
      </c>
      <c r="F684" s="28" t="s">
        <v>113</v>
      </c>
      <c r="G684" s="40" t="s">
        <v>133</v>
      </c>
    </row>
    <row r="685" spans="1:7">
      <c r="A685" s="36">
        <v>46072</v>
      </c>
      <c r="B685" s="37" t="s">
        <v>43</v>
      </c>
      <c r="C685" s="42" t="str">
        <f>IF(B685="","",IFERROR(VLOOKUP(B685,FLOTA!$A:$D,4,0)&amp;" — "&amp;VLOOKUP(B685,FLOTA!$A:$D,3,0),IFERROR(VLOOKUP(B685,'FLOTA TERCEROS'!$A:$D,4,0)&amp;" — "&amp;VLOOKUP(B685,'FLOTA TERCEROS'!$A:$D,3,0),"⚠ No encontrado")))</f>
        <v>AMAROK CS 2.0 140CV — VOLKSWAGEN</v>
      </c>
      <c r="D685" s="43">
        <v>50</v>
      </c>
      <c r="E685" s="44">
        <v>178759</v>
      </c>
      <c r="F685" s="28" t="s">
        <v>118</v>
      </c>
      <c r="G685" s="40" t="s">
        <v>128</v>
      </c>
    </row>
    <row r="686" spans="1:7">
      <c r="A686" s="45">
        <v>46072</v>
      </c>
      <c r="B686" s="37" t="s">
        <v>53</v>
      </c>
      <c r="C686" s="42" t="str">
        <f>IF(B686="","",IFERROR(VLOOKUP(B686,FLOTA!$A:$D,4,0)&amp;" — "&amp;VLOOKUP(B686,FLOTA!$A:$D,3,0),IFERROR(VLOOKUP(B686,'FLOTA TERCEROS'!$A:$D,4,0)&amp;" — "&amp;VLOOKUP(B686,'FLOTA TERCEROS'!$A:$D,3,0),"⚠ No encontrado")))</f>
        <v>AMAROK DC 2.0L TDI 180CV 4X4 — VOLKSWAGEN</v>
      </c>
      <c r="D686" s="43">
        <v>25</v>
      </c>
      <c r="E686" s="44">
        <v>290192</v>
      </c>
      <c r="F686" s="28" t="s">
        <v>126</v>
      </c>
      <c r="G686" s="40" t="s">
        <v>142</v>
      </c>
    </row>
    <row r="687" spans="1:7">
      <c r="A687" s="45">
        <v>46072</v>
      </c>
      <c r="B687" s="37" t="s">
        <v>24</v>
      </c>
      <c r="C687" s="42" t="str">
        <f>IF(B687="","",IFERROR(VLOOKUP(B687,FLOTA!$A:$D,4,0)&amp;" — "&amp;VLOOKUP(B687,FLOTA!$A:$D,3,0),IFERROR(VLOOKUP(B687,'FLOTA TERCEROS'!$A:$D,4,0)&amp;" — "&amp;VLOOKUP(B687,'FLOTA TERCEROS'!$A:$D,3,0),"⚠ No encontrado")))</f>
        <v>RANGER 2 CD 4X4 XLS 3.2L — FORD</v>
      </c>
      <c r="D687" s="43">
        <v>45</v>
      </c>
      <c r="E687" s="44">
        <v>260299</v>
      </c>
      <c r="F687" s="28" t="s">
        <v>108</v>
      </c>
      <c r="G687" s="40" t="s">
        <v>140</v>
      </c>
    </row>
    <row r="688" spans="1:7">
      <c r="A688" s="45">
        <v>46077</v>
      </c>
      <c r="B688" s="37" t="s">
        <v>36</v>
      </c>
      <c r="C688" s="42" t="str">
        <f>IF(B688="","",IFERROR(VLOOKUP(B688,FLOTA!$A:$D,4,0)&amp;" — "&amp;VLOOKUP(B688,FLOTA!$A:$D,3,0),IFERROR(VLOOKUP(B688,'FLOTA TERCEROS'!$A:$D,4,0)&amp;" — "&amp;VLOOKUP(B688,'FLOTA TERCEROS'!$A:$D,3,0),"⚠ No encontrado")))</f>
        <v>HILUX 4X2 CD SRV 3.0 — TOYOTA</v>
      </c>
      <c r="D688" s="43">
        <v>80</v>
      </c>
      <c r="E688" s="44">
        <v>329450</v>
      </c>
      <c r="F688" s="28" t="s">
        <v>112</v>
      </c>
      <c r="G688" s="40" t="s">
        <v>143</v>
      </c>
    </row>
    <row r="689" spans="1:7">
      <c r="A689" s="45">
        <v>46077</v>
      </c>
      <c r="B689" s="37" t="s">
        <v>66</v>
      </c>
      <c r="C689" s="42" t="str">
        <f>IF(B689="","",IFERROR(VLOOKUP(B689,FLOTA!$A:$D,4,0)&amp;" — "&amp;VLOOKUP(B689,FLOTA!$A:$D,3,0),IFERROR(VLOOKUP(B689,'FLOTA TERCEROS'!$A:$D,4,0)&amp;" — "&amp;VLOOKUP(B689,'FLOTA TERCEROS'!$A:$D,3,0),"⚠ No encontrado")))</f>
        <v>SPRINTER 515 CDIC — MERCEDES BENZ</v>
      </c>
      <c r="D689" s="43">
        <v>70</v>
      </c>
      <c r="E689" s="44">
        <v>145955</v>
      </c>
      <c r="F689" s="28" t="s">
        <v>112</v>
      </c>
      <c r="G689" s="40" t="s">
        <v>133</v>
      </c>
    </row>
    <row r="690" spans="1:7">
      <c r="A690" s="45">
        <v>46077</v>
      </c>
      <c r="B690" s="37" t="s">
        <v>81</v>
      </c>
      <c r="C690" s="42" t="str">
        <f>IF(B690="","",IFERROR(VLOOKUP(B690,FLOTA!$A:$D,4,0)&amp;" — "&amp;VLOOKUP(B690,FLOTA!$A:$D,3,0),IFERROR(VLOOKUP(B690,'FLOTA TERCEROS'!$A:$D,4,0)&amp;" — "&amp;VLOOKUP(B690,'FLOTA TERCEROS'!$A:$D,3,0),"⚠ No encontrado")))</f>
        <v>RANGER — FORD</v>
      </c>
      <c r="D690" s="43">
        <v>75</v>
      </c>
      <c r="E690" s="44">
        <v>71331</v>
      </c>
      <c r="F690" s="28" t="s">
        <v>114</v>
      </c>
      <c r="G690" s="40" t="s">
        <v>138</v>
      </c>
    </row>
    <row r="691" spans="1:7">
      <c r="A691" s="45">
        <v>46077</v>
      </c>
      <c r="B691" s="37" t="s">
        <v>70</v>
      </c>
      <c r="C691" s="42" t="str">
        <f>IF(B691="","",IFERROR(VLOOKUP(B691,FLOTA!$A:$D,4,0)&amp;" — "&amp;VLOOKUP(B691,FLOTA!$A:$D,3,0),IFERROR(VLOOKUP(B691,'FLOTA TERCEROS'!$A:$D,4,0)&amp;" — "&amp;VLOOKUP(B691,'FLOTA TERCEROS'!$A:$D,3,0),"⚠ No encontrado")))</f>
        <v>TORO — FIAT</v>
      </c>
      <c r="D691" s="43">
        <v>45</v>
      </c>
      <c r="E691" s="44">
        <v>181137</v>
      </c>
      <c r="F691" s="28" t="s">
        <v>121</v>
      </c>
      <c r="G691" s="40" t="s">
        <v>134</v>
      </c>
    </row>
    <row r="692" spans="1:7">
      <c r="A692" s="45">
        <v>46167</v>
      </c>
      <c r="B692" s="37" t="s">
        <v>90</v>
      </c>
      <c r="C692" s="42" t="str">
        <f>IF(B692="","",IFERROR(VLOOKUP(B692,FLOTA!$A:$D,4,0)&amp;" — "&amp;VLOOKUP(B692,FLOTA!$A:$D,3,0),IFERROR(VLOOKUP(B692,'FLOTA TERCEROS'!$A:$D,4,0)&amp;" — "&amp;VLOOKUP(B692,'FLOTA TERCEROS'!$A:$D,3,0),"⚠ No encontrado")))</f>
        <v>RANGER — FORD</v>
      </c>
      <c r="D692" s="43">
        <v>80</v>
      </c>
      <c r="E692" s="44">
        <v>51580</v>
      </c>
      <c r="F692" s="28" t="s">
        <v>116</v>
      </c>
      <c r="G692" s="40" t="s">
        <v>139</v>
      </c>
    </row>
    <row r="693" spans="1:7">
      <c r="A693" s="36">
        <v>46079</v>
      </c>
      <c r="B693" s="37" t="s">
        <v>43</v>
      </c>
      <c r="C693" s="25" t="str">
        <f>IF(B693="","",IFERROR(VLOOKUP(B693,FLOTA!$A:$D,4,0)&amp;" — "&amp;VLOOKUP(B693,FLOTA!$A:$D,3,0),IFERROR(VLOOKUP(B693,'FLOTA TERCEROS'!$A:$D,4,0)&amp;" — "&amp;VLOOKUP(B693,'FLOTA TERCEROS'!$A:$D,3,0),"⚠ No encontrado")))</f>
        <v>AMAROK CS 2.0 140CV — VOLKSWAGEN</v>
      </c>
      <c r="D693" s="38">
        <v>80</v>
      </c>
      <c r="E693" s="39">
        <v>179579</v>
      </c>
      <c r="F693" s="28" t="s">
        <v>118</v>
      </c>
      <c r="G693" s="40" t="s">
        <v>128</v>
      </c>
    </row>
    <row r="694" spans="1:7">
      <c r="A694" s="36">
        <v>46079</v>
      </c>
      <c r="B694" s="37" t="s">
        <v>58</v>
      </c>
      <c r="C694" s="25" t="str">
        <f>IF(B694="","",IFERROR(VLOOKUP(B694,FLOTA!$A:$D,4,0)&amp;" — "&amp;VLOOKUP(B694,FLOTA!$A:$D,3,0),IFERROR(VLOOKUP(B694,'FLOTA TERCEROS'!$A:$D,4,0)&amp;" — "&amp;VLOOKUP(B694,'FLOTA TERCEROS'!$A:$D,3,0),"⚠ No encontrado")))</f>
        <v>SPRINTER 515 CDIC — MERCEDES BENZ</v>
      </c>
      <c r="D694" s="38">
        <v>65</v>
      </c>
      <c r="E694" s="39">
        <v>223673</v>
      </c>
      <c r="F694" s="28" t="s">
        <v>113</v>
      </c>
      <c r="G694" s="40" t="s">
        <v>133</v>
      </c>
    </row>
    <row r="695" spans="1:7">
      <c r="A695" s="36">
        <v>46080</v>
      </c>
      <c r="B695" s="37" t="s">
        <v>36</v>
      </c>
      <c r="C695" s="25" t="str">
        <f>IF(B695="","",IFERROR(VLOOKUP(B695,FLOTA!$A:$D,4,0)&amp;" — "&amp;VLOOKUP(B695,FLOTA!$A:$D,3,0),IFERROR(VLOOKUP(B695,'FLOTA TERCEROS'!$A:$D,4,0)&amp;" — "&amp;VLOOKUP(B695,'FLOTA TERCEROS'!$A:$D,3,0),"⚠ No encontrado")))</f>
        <v>HILUX 4X2 CD SRV 3.0 — TOYOTA</v>
      </c>
      <c r="D695" s="38">
        <v>40</v>
      </c>
      <c r="E695" s="39">
        <v>329818</v>
      </c>
      <c r="F695" s="28" t="s">
        <v>112</v>
      </c>
      <c r="G695" s="40" t="s">
        <v>143</v>
      </c>
    </row>
    <row r="696" spans="1:7">
      <c r="A696" s="36">
        <v>46080</v>
      </c>
      <c r="B696" s="37" t="s">
        <v>24</v>
      </c>
      <c r="C696" s="25" t="str">
        <f>IF(B696="","",IFERROR(VLOOKUP(B696,FLOTA!$A:$D,4,0)&amp;" — "&amp;VLOOKUP(B696,FLOTA!$A:$D,3,0),IFERROR(VLOOKUP(B696,'FLOTA TERCEROS'!$A:$D,4,0)&amp;" — "&amp;VLOOKUP(B696,'FLOTA TERCEROS'!$A:$D,3,0),"⚠ No encontrado")))</f>
        <v>RANGER 2 CD 4X4 XLS 3.2L — FORD</v>
      </c>
      <c r="D696" s="38">
        <v>75</v>
      </c>
      <c r="E696" s="39">
        <v>261135</v>
      </c>
      <c r="F696" s="28" t="s">
        <v>108</v>
      </c>
      <c r="G696" s="40" t="s">
        <v>140</v>
      </c>
    </row>
    <row r="697" spans="1:7">
      <c r="A697" s="36">
        <v>46080</v>
      </c>
      <c r="B697" s="37" t="s">
        <v>70</v>
      </c>
      <c r="C697" s="25" t="str">
        <f>IF(B697="","",IFERROR(VLOOKUP(B697,FLOTA!$A:$D,4,0)&amp;" — "&amp;VLOOKUP(B697,FLOTA!$A:$D,3,0),IFERROR(VLOOKUP(B697,'FLOTA TERCEROS'!$A:$D,4,0)&amp;" — "&amp;VLOOKUP(B697,'FLOTA TERCEROS'!$A:$D,3,0),"⚠ No encontrado")))</f>
        <v>TORO — FIAT</v>
      </c>
      <c r="D697" s="38">
        <v>50</v>
      </c>
      <c r="E697" s="39">
        <v>181735</v>
      </c>
      <c r="F697" s="28" t="s">
        <v>121</v>
      </c>
      <c r="G697" s="40" t="s">
        <v>134</v>
      </c>
    </row>
    <row r="698" spans="1:7">
      <c r="A698" s="36">
        <v>46080</v>
      </c>
      <c r="B698" s="37" t="s">
        <v>90</v>
      </c>
      <c r="C698" s="25" t="str">
        <f>IF(B698="","",IFERROR(VLOOKUP(B698,FLOTA!$A:$D,4,0)&amp;" — "&amp;VLOOKUP(B698,FLOTA!$A:$D,3,0),IFERROR(VLOOKUP(B698,'FLOTA TERCEROS'!$A:$D,4,0)&amp;" — "&amp;VLOOKUP(B698,'FLOTA TERCEROS'!$A:$D,3,0),"⚠ No encontrado")))</f>
        <v>RANGER — FORD</v>
      </c>
      <c r="D698" s="38">
        <v>75</v>
      </c>
      <c r="E698" s="39">
        <v>52261</v>
      </c>
      <c r="F698" s="28" t="s">
        <v>116</v>
      </c>
      <c r="G698" s="40" t="s">
        <v>139</v>
      </c>
    </row>
    <row r="699" spans="1:7">
      <c r="A699" s="36">
        <v>46080</v>
      </c>
      <c r="B699" s="37"/>
      <c r="C699" s="25" t="s">
        <v>144</v>
      </c>
      <c r="D699" s="38">
        <v>10</v>
      </c>
      <c r="E699" s="39"/>
      <c r="F699" s="28" t="s">
        <v>112</v>
      </c>
      <c r="G699" s="40" t="s">
        <v>145</v>
      </c>
    </row>
    <row r="700" spans="1:7">
      <c r="A700" s="36">
        <v>46081</v>
      </c>
      <c r="B700" s="37" t="s">
        <v>66</v>
      </c>
      <c r="C700" s="25" t="str">
        <f>IF(B700="","",IFERROR(VLOOKUP(B700,FLOTA!$A:$D,4,0)&amp;" — "&amp;VLOOKUP(B700,FLOTA!$A:$D,3,0),IFERROR(VLOOKUP(B700,'FLOTA TERCEROS'!$A:$D,4,0)&amp;" — "&amp;VLOOKUP(B700,'FLOTA TERCEROS'!$A:$D,3,0),"⚠ No encontrado")))</f>
        <v>SPRINTER 515 CDIC — MERCEDES BENZ</v>
      </c>
      <c r="D700" s="38">
        <v>60</v>
      </c>
      <c r="E700" s="39">
        <v>146380</v>
      </c>
      <c r="F700" s="28" t="s">
        <v>112</v>
      </c>
      <c r="G700" s="40" t="s">
        <v>133</v>
      </c>
    </row>
    <row r="701" spans="1:7">
      <c r="A701" s="36">
        <v>46084</v>
      </c>
      <c r="B701" s="37" t="s">
        <v>70</v>
      </c>
      <c r="C701" s="25" t="str">
        <f>IF(B701="","",IFERROR(VLOOKUP(B701,FLOTA!$A:$D,4,0)&amp;" — "&amp;VLOOKUP(B701,FLOTA!$A:$D,3,0),IFERROR(VLOOKUP(B701,'FLOTA TERCEROS'!$A:$D,4,0)&amp;" — "&amp;VLOOKUP(B701,'FLOTA TERCEROS'!$A:$D,3,0),"⚠ No encontrado")))</f>
        <v>TORO — FIAT</v>
      </c>
      <c r="D701" s="38">
        <v>55</v>
      </c>
      <c r="E701" s="39">
        <v>182298</v>
      </c>
      <c r="F701" s="28" t="s">
        <v>121</v>
      </c>
      <c r="G701" s="40" t="s">
        <v>134</v>
      </c>
    </row>
    <row r="702" spans="1:7">
      <c r="A702" s="36">
        <v>46085</v>
      </c>
      <c r="B702" s="37" t="s">
        <v>36</v>
      </c>
      <c r="C702" s="25" t="str">
        <f>IF(B702="","",IFERROR(VLOOKUP(B702,FLOTA!$A:$D,4,0)&amp;" — "&amp;VLOOKUP(B702,FLOTA!$A:$D,3,0),IFERROR(VLOOKUP(B702,'FLOTA TERCEROS'!$A:$D,4,0)&amp;" — "&amp;VLOOKUP(B702,'FLOTA TERCEROS'!$A:$D,3,0),"⚠ No encontrado")))</f>
        <v>HILUX 4X2 CD SRV 3.0 — TOYOTA</v>
      </c>
      <c r="D702" s="38">
        <v>70</v>
      </c>
      <c r="E702" s="39">
        <v>330532</v>
      </c>
      <c r="F702" s="28" t="s">
        <v>112</v>
      </c>
      <c r="G702" s="40" t="s">
        <v>143</v>
      </c>
    </row>
    <row r="703" spans="1:7">
      <c r="A703" s="36">
        <v>46085</v>
      </c>
      <c r="B703" s="37" t="s">
        <v>81</v>
      </c>
      <c r="C703" s="25" t="str">
        <f>IF(B703="","",IFERROR(VLOOKUP(B703,FLOTA!$A:$D,4,0)&amp;" — "&amp;VLOOKUP(B703,FLOTA!$A:$D,3,0),IFERROR(VLOOKUP(B703,'FLOTA TERCEROS'!$A:$D,4,0)&amp;" — "&amp;VLOOKUP(B703,'FLOTA TERCEROS'!$A:$D,3,0),"⚠ No encontrado")))</f>
        <v>RANGER — FORD</v>
      </c>
      <c r="D703" s="38">
        <v>75</v>
      </c>
      <c r="E703" s="39">
        <v>72035</v>
      </c>
      <c r="F703" s="28" t="s">
        <v>114</v>
      </c>
      <c r="G703" s="40" t="s">
        <v>138</v>
      </c>
    </row>
    <row r="704" spans="1:7">
      <c r="A704" s="36">
        <v>46086</v>
      </c>
      <c r="B704" s="37" t="s">
        <v>43</v>
      </c>
      <c r="C704" s="25" t="str">
        <f>IF(B704="","",IFERROR(VLOOKUP(B704,FLOTA!$A:$D,4,0)&amp;" — "&amp;VLOOKUP(B704,FLOTA!$A:$D,3,0),IFERROR(VLOOKUP(B704,'FLOTA TERCEROS'!$A:$D,4,0)&amp;" — "&amp;VLOOKUP(B704,'FLOTA TERCEROS'!$A:$D,3,0),"⚠ No encontrado")))</f>
        <v>AMAROK CS 2.0 140CV — VOLKSWAGEN</v>
      </c>
      <c r="D704" s="38">
        <v>70</v>
      </c>
      <c r="E704" s="39">
        <v>180257</v>
      </c>
      <c r="F704" s="28" t="s">
        <v>118</v>
      </c>
      <c r="G704" s="40" t="s">
        <v>128</v>
      </c>
    </row>
    <row r="705" spans="1:7">
      <c r="A705" s="36">
        <v>46086</v>
      </c>
      <c r="B705" s="37" t="s">
        <v>58</v>
      </c>
      <c r="C705" s="42" t="str">
        <f>IF(B705="","",IFERROR(VLOOKUP(B705,FLOTA!$A:$D,4,0)&amp;" — "&amp;VLOOKUP(B705,FLOTA!$A:$D,3,0),IFERROR(VLOOKUP(B705,'FLOTA TERCEROS'!$A:$D,4,0)&amp;" — "&amp;VLOOKUP(B705,'FLOTA TERCEROS'!$A:$D,3,0),"⚠ No encontrado")))</f>
        <v>SPRINTER 515 CDIC — MERCEDES BENZ</v>
      </c>
      <c r="D705" s="43">
        <v>65</v>
      </c>
      <c r="E705" s="44">
        <v>224070</v>
      </c>
      <c r="F705" s="47" t="s">
        <v>113</v>
      </c>
      <c r="G705" s="40" t="s">
        <v>133</v>
      </c>
    </row>
    <row r="706" spans="1:7">
      <c r="A706" s="36">
        <v>46087</v>
      </c>
      <c r="B706" s="37" t="s">
        <v>90</v>
      </c>
      <c r="C706" s="25" t="str">
        <f>IF(B706="","",IFERROR(VLOOKUP(B706,FLOTA!$A:$D,4,0)&amp;" — "&amp;VLOOKUP(B706,FLOTA!$A:$D,3,0),IFERROR(VLOOKUP(B706,'FLOTA TERCEROS'!$A:$D,4,0)&amp;" — "&amp;VLOOKUP(B706,'FLOTA TERCEROS'!$A:$D,3,0),"⚠ No encontrado")))</f>
        <v>RANGER — FORD</v>
      </c>
      <c r="D706" s="38">
        <v>60</v>
      </c>
      <c r="E706" s="39">
        <v>58812</v>
      </c>
      <c r="F706" s="28" t="s">
        <v>116</v>
      </c>
      <c r="G706" s="40" t="s">
        <v>139</v>
      </c>
    </row>
    <row r="707" spans="1:7">
      <c r="A707" s="36">
        <v>46087</v>
      </c>
      <c r="B707" s="37" t="s">
        <v>53</v>
      </c>
      <c r="C707" s="25" t="str">
        <f>IF(B707="","",IFERROR(VLOOKUP(B707,FLOTA!$A:$D,4,0)&amp;" — "&amp;VLOOKUP(B707,FLOTA!$A:$D,3,0),IFERROR(VLOOKUP(B707,'FLOTA TERCEROS'!$A:$D,4,0)&amp;" — "&amp;VLOOKUP(B707,'FLOTA TERCEROS'!$A:$D,3,0),"⚠ No encontrado")))</f>
        <v>AMAROK DC 2.0L TDI 180CV 4X4 — VOLKSWAGEN</v>
      </c>
      <c r="D707" s="38">
        <v>60</v>
      </c>
      <c r="E707" s="39">
        <v>290742</v>
      </c>
      <c r="F707" s="28" t="s">
        <v>126</v>
      </c>
      <c r="G707" s="40" t="s">
        <v>142</v>
      </c>
    </row>
    <row r="708" spans="1:7">
      <c r="A708" s="36">
        <v>46087</v>
      </c>
      <c r="B708" s="37" t="s">
        <v>66</v>
      </c>
      <c r="C708" s="25" t="str">
        <f>IF(B708="","",IFERROR(VLOOKUP(B708,FLOTA!$A:$D,4,0)&amp;" — "&amp;VLOOKUP(B708,FLOTA!$A:$D,3,0),IFERROR(VLOOKUP(B708,'FLOTA TERCEROS'!$A:$D,4,0)&amp;" — "&amp;VLOOKUP(B708,'FLOTA TERCEROS'!$A:$D,3,0),"⚠ No encontrado")))</f>
        <v>SPRINTER 515 CDIC — MERCEDES BENZ</v>
      </c>
      <c r="D708" s="38">
        <v>60</v>
      </c>
      <c r="E708" s="39">
        <v>146802</v>
      </c>
      <c r="F708" s="28" t="s">
        <v>112</v>
      </c>
      <c r="G708" s="40" t="s">
        <v>133</v>
      </c>
    </row>
    <row r="709" spans="1:7">
      <c r="A709" s="36">
        <v>46090</v>
      </c>
      <c r="B709" s="37" t="s">
        <v>43</v>
      </c>
      <c r="C709" s="25" t="str">
        <f>IF(B709="","",IFERROR(VLOOKUP(B709,FLOTA!$A:$D,4,0)&amp;" — "&amp;VLOOKUP(B709,FLOTA!$A:$D,3,0),IFERROR(VLOOKUP(B709,'FLOTA TERCEROS'!$A:$D,4,0)&amp;" — "&amp;VLOOKUP(B709,'FLOTA TERCEROS'!$A:$D,3,0),"⚠ No encontrado")))</f>
        <v>AMAROK CS 2.0 140CV — VOLKSWAGEN</v>
      </c>
      <c r="D709" s="38">
        <v>65</v>
      </c>
      <c r="E709" s="39">
        <v>180899</v>
      </c>
      <c r="F709" s="28" t="s">
        <v>118</v>
      </c>
      <c r="G709" s="40" t="s">
        <v>128</v>
      </c>
    </row>
    <row r="710" spans="1:7">
      <c r="A710" s="36">
        <v>46090</v>
      </c>
      <c r="B710" s="37" t="s">
        <v>36</v>
      </c>
      <c r="C710" s="25" t="str">
        <f>IF(B710="","",IFERROR(VLOOKUP(B710,FLOTA!$A:$D,4,0)&amp;" — "&amp;VLOOKUP(B710,FLOTA!$A:$D,3,0),IFERROR(VLOOKUP(B710,'FLOTA TERCEROS'!$A:$D,4,0)&amp;" — "&amp;VLOOKUP(B710,'FLOTA TERCEROS'!$A:$D,3,0),"⚠ No encontrado")))</f>
        <v>HILUX 4X2 CD SRV 3.0 — TOYOTA</v>
      </c>
      <c r="D710" s="38">
        <v>55</v>
      </c>
      <c r="E710" s="39">
        <v>331030</v>
      </c>
      <c r="F710" s="28" t="s">
        <v>112</v>
      </c>
      <c r="G710" s="40" t="s">
        <v>143</v>
      </c>
    </row>
    <row r="711" spans="1:7">
      <c r="A711" s="36">
        <v>46092</v>
      </c>
      <c r="B711" s="37" t="s">
        <v>81</v>
      </c>
      <c r="C711" s="25" t="str">
        <f>IF(B711="","",IFERROR(VLOOKUP(B711,FLOTA!$A:$D,4,0)&amp;" — "&amp;VLOOKUP(B711,FLOTA!$A:$D,3,0),IFERROR(VLOOKUP(B711,'FLOTA TERCEROS'!$A:$D,4,0)&amp;" — "&amp;VLOOKUP(B711,'FLOTA TERCEROS'!$A:$D,3,0),"⚠ No encontrado")))</f>
        <v>RANGER — FORD</v>
      </c>
      <c r="D711" s="38">
        <v>50</v>
      </c>
      <c r="E711" s="39"/>
      <c r="F711" s="28" t="s">
        <v>114</v>
      </c>
      <c r="G711" s="40" t="s">
        <v>138</v>
      </c>
    </row>
    <row r="712" spans="1:7">
      <c r="A712" s="36">
        <v>46092</v>
      </c>
      <c r="B712" s="37" t="s">
        <v>90</v>
      </c>
      <c r="C712" s="25" t="str">
        <f>IF(B712="","",IFERROR(VLOOKUP(B712,FLOTA!$A:$D,4,0)&amp;" — "&amp;VLOOKUP(B712,FLOTA!$A:$D,3,0),IFERROR(VLOOKUP(B712,'FLOTA TERCEROS'!$A:$D,4,0)&amp;" — "&amp;VLOOKUP(B712,'FLOTA TERCEROS'!$A:$D,3,0),"⚠ No encontrado")))</f>
        <v>RANGER — FORD</v>
      </c>
      <c r="D712" s="38">
        <v>25</v>
      </c>
      <c r="E712" s="39">
        <v>53246</v>
      </c>
      <c r="F712" s="28" t="s">
        <v>116</v>
      </c>
      <c r="G712" s="40" t="s">
        <v>139</v>
      </c>
    </row>
    <row r="713" spans="1:7">
      <c r="A713" s="36">
        <v>46092</v>
      </c>
      <c r="B713" s="37" t="s">
        <v>58</v>
      </c>
      <c r="C713" s="25" t="str">
        <f>IF(B713="","",IFERROR(VLOOKUP(B713,FLOTA!$A:$D,4,0)&amp;" — "&amp;VLOOKUP(B713,FLOTA!$A:$D,3,0),IFERROR(VLOOKUP(B713,'FLOTA TERCEROS'!$A:$D,4,0)&amp;" — "&amp;VLOOKUP(B713,'FLOTA TERCEROS'!$A:$D,3,0),"⚠ No encontrado")))</f>
        <v>SPRINTER 515 CDIC — MERCEDES BENZ</v>
      </c>
      <c r="D713" s="38">
        <v>75</v>
      </c>
      <c r="E713" s="39"/>
      <c r="F713" s="28" t="s">
        <v>111</v>
      </c>
      <c r="G713" s="40" t="s">
        <v>133</v>
      </c>
    </row>
    <row r="714" spans="1:7">
      <c r="A714" s="36">
        <v>46093</v>
      </c>
      <c r="B714" s="37" t="s">
        <v>24</v>
      </c>
      <c r="C714" s="25" t="str">
        <f>IF(B714="","",IFERROR(VLOOKUP(B714,FLOTA!$A:$D,4,0)&amp;" — "&amp;VLOOKUP(B714,FLOTA!$A:$D,3,0),IFERROR(VLOOKUP(B714,'FLOTA TERCEROS'!$A:$D,4,0)&amp;" — "&amp;VLOOKUP(B714,'FLOTA TERCEROS'!$A:$D,3,0),"⚠ No encontrado")))</f>
        <v>RANGER 2 CD 4X4 XLS 3.2L — FORD</v>
      </c>
      <c r="D714" s="38">
        <v>80</v>
      </c>
      <c r="E714" s="39">
        <v>262055</v>
      </c>
      <c r="F714" s="28" t="s">
        <v>108</v>
      </c>
      <c r="G714" s="40" t="s">
        <v>140</v>
      </c>
    </row>
    <row r="715" spans="1:7">
      <c r="A715" s="36"/>
      <c r="B715" s="37"/>
      <c r="C715" s="25" t="str">
        <f>IF(B715="","",IFERROR(VLOOKUP(B715,FLOTA!$A:$D,4,0)&amp;" — "&amp;VLOOKUP(B715,FLOTA!$A:$D,3,0),IFERROR(VLOOKUP(B715,'FLOTA TERCEROS'!$A:$D,4,0)&amp;" — "&amp;VLOOKUP(B715,'FLOTA TERCEROS'!$A:$D,3,0),"⚠ No encontrado")))</f>
        <v/>
      </c>
      <c r="D715" s="38"/>
      <c r="E715" s="39"/>
      <c r="F715" s="28"/>
      <c r="G715" s="40"/>
    </row>
    <row r="716" spans="1:7">
      <c r="A716" s="36"/>
      <c r="B716" s="37"/>
      <c r="C716" s="25" t="str">
        <f>IF(B716="","",IFERROR(VLOOKUP(B716,FLOTA!$A:$D,4,0)&amp;" — "&amp;VLOOKUP(B716,FLOTA!$A:$D,3,0),IFERROR(VLOOKUP(B716,'FLOTA TERCEROS'!$A:$D,4,0)&amp;" — "&amp;VLOOKUP(B716,'FLOTA TERCEROS'!$A:$D,3,0),"⚠ No encontrado")))</f>
        <v/>
      </c>
      <c r="D716" s="38"/>
      <c r="E716" s="39"/>
      <c r="F716" s="28"/>
      <c r="G716" s="40"/>
    </row>
    <row r="717" spans="1:7">
      <c r="A717" s="36"/>
      <c r="B717" s="37"/>
      <c r="C717" s="25" t="str">
        <f>IF(B717="","",IFERROR(VLOOKUP(B717,FLOTA!$A:$D,4,0)&amp;" — "&amp;VLOOKUP(B717,FLOTA!$A:$D,3,0),IFERROR(VLOOKUP(B717,'FLOTA TERCEROS'!$A:$D,4,0)&amp;" — "&amp;VLOOKUP(B717,'FLOTA TERCEROS'!$A:$D,3,0),"⚠ No encontrado")))</f>
        <v/>
      </c>
      <c r="D717" s="38"/>
      <c r="E717" s="39"/>
      <c r="F717" s="28"/>
      <c r="G717" s="40"/>
    </row>
    <row r="718" spans="1:7">
      <c r="A718" s="36"/>
      <c r="B718" s="37"/>
      <c r="C718" s="25" t="str">
        <f>IF(B718="","",IFERROR(VLOOKUP(B718,FLOTA!$A:$D,4,0)&amp;" — "&amp;VLOOKUP(B718,FLOTA!$A:$D,3,0),IFERROR(VLOOKUP(B718,'FLOTA TERCEROS'!$A:$D,4,0)&amp;" — "&amp;VLOOKUP(B718,'FLOTA TERCEROS'!$A:$D,3,0),"⚠ No encontrado")))</f>
        <v/>
      </c>
      <c r="D718" s="38"/>
      <c r="E718" s="39"/>
      <c r="F718" s="28"/>
      <c r="G718" s="40"/>
    </row>
    <row r="719" spans="1:7">
      <c r="A719" s="36"/>
      <c r="B719" s="37"/>
      <c r="C719" s="25" t="str">
        <f>IF(B719="","",IFERROR(VLOOKUP(B719,FLOTA!$A:$D,4,0)&amp;" — "&amp;VLOOKUP(B719,FLOTA!$A:$D,3,0),IFERROR(VLOOKUP(B719,'FLOTA TERCEROS'!$A:$D,4,0)&amp;" — "&amp;VLOOKUP(B719,'FLOTA TERCEROS'!$A:$D,3,0),"⚠ No encontrado")))</f>
        <v/>
      </c>
      <c r="D719" s="38"/>
      <c r="E719" s="39"/>
      <c r="F719" s="28"/>
      <c r="G719" s="40"/>
    </row>
    <row r="720" spans="1:7">
      <c r="A720" s="36"/>
      <c r="B720" s="37"/>
      <c r="C720" s="25" t="str">
        <f>IF(B720="","",IFERROR(VLOOKUP(B720,FLOTA!$A:$D,4,0)&amp;" — "&amp;VLOOKUP(B720,FLOTA!$A:$D,3,0),IFERROR(VLOOKUP(B720,'FLOTA TERCEROS'!$A:$D,4,0)&amp;" — "&amp;VLOOKUP(B720,'FLOTA TERCEROS'!$A:$D,3,0),"⚠ No encontrado")))</f>
        <v/>
      </c>
      <c r="D720" s="38"/>
      <c r="E720" s="39"/>
      <c r="F720" s="28"/>
      <c r="G720" s="40"/>
    </row>
    <row r="721" spans="1:7">
      <c r="A721" s="36"/>
      <c r="B721" s="37"/>
      <c r="C721" s="25" t="str">
        <f>IF(B721="","",IFERROR(VLOOKUP(B721,FLOTA!$A:$D,4,0)&amp;" — "&amp;VLOOKUP(B721,FLOTA!$A:$D,3,0),IFERROR(VLOOKUP(B721,'FLOTA TERCEROS'!$A:$D,4,0)&amp;" — "&amp;VLOOKUP(B721,'FLOTA TERCEROS'!$A:$D,3,0),"⚠ No encontrado")))</f>
        <v/>
      </c>
      <c r="D721" s="38"/>
      <c r="E721" s="39"/>
      <c r="F721" s="28"/>
      <c r="G721" s="40"/>
    </row>
    <row r="722" spans="1:7">
      <c r="A722" s="36"/>
      <c r="B722" s="37"/>
      <c r="C722" s="25" t="str">
        <f>IF(B722="","",IFERROR(VLOOKUP(B722,FLOTA!$A:$D,4,0)&amp;" — "&amp;VLOOKUP(B722,FLOTA!$A:$D,3,0),IFERROR(VLOOKUP(B722,'FLOTA TERCEROS'!$A:$D,4,0)&amp;" — "&amp;VLOOKUP(B722,'FLOTA TERCEROS'!$A:$D,3,0),"⚠ No encontrado")))</f>
        <v/>
      </c>
      <c r="D722" s="38"/>
      <c r="E722" s="39"/>
      <c r="F722" s="28"/>
      <c r="G722" s="40"/>
    </row>
    <row r="723" spans="1:7">
      <c r="A723" s="36"/>
      <c r="B723" s="37"/>
      <c r="C723" s="25" t="str">
        <f>IF(B723="","",IFERROR(VLOOKUP(B723,FLOTA!$A:$D,4,0)&amp;" — "&amp;VLOOKUP(B723,FLOTA!$A:$D,3,0),IFERROR(VLOOKUP(B723,'FLOTA TERCEROS'!$A:$D,4,0)&amp;" — "&amp;VLOOKUP(B723,'FLOTA TERCEROS'!$A:$D,3,0),"⚠ No encontrado")))</f>
        <v/>
      </c>
      <c r="D723" s="38"/>
      <c r="E723" s="39"/>
      <c r="F723" s="28"/>
      <c r="G723" s="40"/>
    </row>
    <row r="724" spans="1:7">
      <c r="A724" s="36"/>
      <c r="B724" s="37"/>
      <c r="C724" s="25" t="str">
        <f>IF(B724="","",IFERROR(VLOOKUP(B724,FLOTA!$A:$D,4,0)&amp;" — "&amp;VLOOKUP(B724,FLOTA!$A:$D,3,0),IFERROR(VLOOKUP(B724,'FLOTA TERCEROS'!$A:$D,4,0)&amp;" — "&amp;VLOOKUP(B724,'FLOTA TERCEROS'!$A:$D,3,0),"⚠ No encontrado")))</f>
        <v/>
      </c>
      <c r="D724" s="38"/>
      <c r="E724" s="39"/>
      <c r="F724" s="28"/>
      <c r="G724" s="40"/>
    </row>
    <row r="725" spans="1:7">
      <c r="A725" s="36"/>
      <c r="B725" s="37"/>
      <c r="C725" s="25" t="str">
        <f>IF(B725="","",IFERROR(VLOOKUP(B725,FLOTA!$A:$D,4,0)&amp;" — "&amp;VLOOKUP(B725,FLOTA!$A:$D,3,0),IFERROR(VLOOKUP(B725,'FLOTA TERCEROS'!$A:$D,4,0)&amp;" — "&amp;VLOOKUP(B725,'FLOTA TERCEROS'!$A:$D,3,0),"⚠ No encontrado")))</f>
        <v/>
      </c>
      <c r="D725" s="38"/>
      <c r="E725" s="39"/>
      <c r="F725" s="28"/>
      <c r="G725" s="40"/>
    </row>
    <row r="726" spans="1:7">
      <c r="A726" s="36"/>
      <c r="B726" s="37"/>
      <c r="C726" s="25" t="str">
        <f>IF(B726="","",IFERROR(VLOOKUP(B726,FLOTA!$A:$D,4,0)&amp;" — "&amp;VLOOKUP(B726,FLOTA!$A:$D,3,0),IFERROR(VLOOKUP(B726,'FLOTA TERCEROS'!$A:$D,4,0)&amp;" — "&amp;VLOOKUP(B726,'FLOTA TERCEROS'!$A:$D,3,0),"⚠ No encontrado")))</f>
        <v/>
      </c>
      <c r="D726" s="38"/>
      <c r="E726" s="39"/>
      <c r="F726" s="28"/>
      <c r="G726" s="40"/>
    </row>
    <row r="727" spans="1:7">
      <c r="A727" s="36"/>
      <c r="B727" s="37"/>
      <c r="C727" s="25" t="str">
        <f>IF(B727="","",IFERROR(VLOOKUP(B727,FLOTA!$A:$D,4,0)&amp;" — "&amp;VLOOKUP(B727,FLOTA!$A:$D,3,0),IFERROR(VLOOKUP(B727,'FLOTA TERCEROS'!$A:$D,4,0)&amp;" — "&amp;VLOOKUP(B727,'FLOTA TERCEROS'!$A:$D,3,0),"⚠ No encontrado")))</f>
        <v/>
      </c>
      <c r="D727" s="38"/>
      <c r="E727" s="39"/>
      <c r="F727" s="28"/>
      <c r="G727" s="40"/>
    </row>
    <row r="728" spans="1:7">
      <c r="A728" s="36"/>
      <c r="B728" s="37"/>
      <c r="C728" s="25" t="str">
        <f>IF(B728="","",IFERROR(VLOOKUP(B728,FLOTA!$A:$D,4,0)&amp;" — "&amp;VLOOKUP(B728,FLOTA!$A:$D,3,0),IFERROR(VLOOKUP(B728,'FLOTA TERCEROS'!$A:$D,4,0)&amp;" — "&amp;VLOOKUP(B728,'FLOTA TERCEROS'!$A:$D,3,0),"⚠ No encontrado")))</f>
        <v/>
      </c>
      <c r="D728" s="38"/>
      <c r="E728" s="39"/>
      <c r="F728" s="28"/>
      <c r="G728" s="40"/>
    </row>
    <row r="729" spans="1:7">
      <c r="A729" s="36"/>
      <c r="B729" s="37"/>
      <c r="C729" s="25" t="str">
        <f>IF(B729="","",IFERROR(VLOOKUP(B729,FLOTA!$A:$D,4,0)&amp;" — "&amp;VLOOKUP(B729,FLOTA!$A:$D,3,0),IFERROR(VLOOKUP(B729,'FLOTA TERCEROS'!$A:$D,4,0)&amp;" — "&amp;VLOOKUP(B729,'FLOTA TERCEROS'!$A:$D,3,0),"⚠ No encontrado")))</f>
        <v/>
      </c>
      <c r="D729" s="38"/>
      <c r="E729" s="39"/>
      <c r="F729" s="28"/>
      <c r="G729" s="40"/>
    </row>
    <row r="730" spans="1:7">
      <c r="A730" s="36"/>
      <c r="B730" s="37"/>
      <c r="C730" s="25" t="str">
        <f>IF(B730="","",IFERROR(VLOOKUP(B730,FLOTA!$A:$D,4,0)&amp;" — "&amp;VLOOKUP(B730,FLOTA!$A:$D,3,0),IFERROR(VLOOKUP(B730,'FLOTA TERCEROS'!$A:$D,4,0)&amp;" — "&amp;VLOOKUP(B730,'FLOTA TERCEROS'!$A:$D,3,0),"⚠ No encontrado")))</f>
        <v/>
      </c>
      <c r="D730" s="38"/>
      <c r="E730" s="39"/>
      <c r="F730" s="28"/>
      <c r="G730" s="40"/>
    </row>
    <row r="731" spans="1:7">
      <c r="A731" s="36"/>
      <c r="B731" s="37"/>
      <c r="C731" s="25" t="str">
        <f>IF(B731="","",IFERROR(VLOOKUP(B731,FLOTA!$A:$D,4,0)&amp;" — "&amp;VLOOKUP(B731,FLOTA!$A:$D,3,0),IFERROR(VLOOKUP(B731,'FLOTA TERCEROS'!$A:$D,4,0)&amp;" — "&amp;VLOOKUP(B731,'FLOTA TERCEROS'!$A:$D,3,0),"⚠ No encontrado")))</f>
        <v/>
      </c>
      <c r="D731" s="38"/>
      <c r="E731" s="39"/>
      <c r="F731" s="28"/>
      <c r="G731" s="40"/>
    </row>
    <row r="732" spans="1:7">
      <c r="A732" s="36"/>
      <c r="B732" s="37"/>
      <c r="C732" s="25" t="str">
        <f>IF(B732="","",IFERROR(VLOOKUP(B732,FLOTA!$A:$D,4,0)&amp;" — "&amp;VLOOKUP(B732,FLOTA!$A:$D,3,0),IFERROR(VLOOKUP(B732,'FLOTA TERCEROS'!$A:$D,4,0)&amp;" — "&amp;VLOOKUP(B732,'FLOTA TERCEROS'!$A:$D,3,0),"⚠ No encontrado")))</f>
        <v/>
      </c>
      <c r="D732" s="38"/>
      <c r="E732" s="39"/>
      <c r="F732" s="28"/>
      <c r="G732" s="40"/>
    </row>
    <row r="733" spans="1:7">
      <c r="A733" s="36"/>
      <c r="B733" s="37"/>
      <c r="C733" s="25" t="str">
        <f>IF(B733="","",IFERROR(VLOOKUP(B733,FLOTA!$A:$D,4,0)&amp;" — "&amp;VLOOKUP(B733,FLOTA!$A:$D,3,0),IFERROR(VLOOKUP(B733,'FLOTA TERCEROS'!$A:$D,4,0)&amp;" — "&amp;VLOOKUP(B733,'FLOTA TERCEROS'!$A:$D,3,0),"⚠ No encontrado")))</f>
        <v/>
      </c>
      <c r="D733" s="38"/>
      <c r="E733" s="39"/>
      <c r="F733" s="28"/>
      <c r="G733" s="40"/>
    </row>
    <row r="734" spans="1:7">
      <c r="A734" s="36"/>
      <c r="B734" s="37"/>
      <c r="C734" s="25" t="str">
        <f>IF(B734="","",IFERROR(VLOOKUP(B734,FLOTA!$A:$D,4,0)&amp;" — "&amp;VLOOKUP(B734,FLOTA!$A:$D,3,0),IFERROR(VLOOKUP(B734,'FLOTA TERCEROS'!$A:$D,4,0)&amp;" — "&amp;VLOOKUP(B734,'FLOTA TERCEROS'!$A:$D,3,0),"⚠ No encontrado")))</f>
        <v/>
      </c>
      <c r="D734" s="38"/>
      <c r="E734" s="39"/>
      <c r="F734" s="28"/>
      <c r="G734" s="40"/>
    </row>
    <row r="735" spans="1:7">
      <c r="A735" s="36"/>
      <c r="B735" s="37"/>
      <c r="C735" s="25" t="str">
        <f>IF(B735="","",IFERROR(VLOOKUP(B735,FLOTA!$A:$D,4,0)&amp;" — "&amp;VLOOKUP(B735,FLOTA!$A:$D,3,0),IFERROR(VLOOKUP(B735,'FLOTA TERCEROS'!$A:$D,4,0)&amp;" — "&amp;VLOOKUP(B735,'FLOTA TERCEROS'!$A:$D,3,0),"⚠ No encontrado")))</f>
        <v/>
      </c>
      <c r="D735" s="38"/>
      <c r="E735" s="39"/>
      <c r="F735" s="28"/>
      <c r="G735" s="40"/>
    </row>
    <row r="736" spans="1:7">
      <c r="A736" s="36"/>
      <c r="B736" s="37"/>
      <c r="C736" s="25" t="str">
        <f>IF(B736="","",IFERROR(VLOOKUP(B736,FLOTA!$A:$D,4,0)&amp;" — "&amp;VLOOKUP(B736,FLOTA!$A:$D,3,0),IFERROR(VLOOKUP(B736,'FLOTA TERCEROS'!$A:$D,4,0)&amp;" — "&amp;VLOOKUP(B736,'FLOTA TERCEROS'!$A:$D,3,0),"⚠ No encontrado")))</f>
        <v/>
      </c>
      <c r="D736" s="38"/>
      <c r="E736" s="39"/>
      <c r="F736" s="28"/>
      <c r="G736" s="40"/>
    </row>
    <row r="737" spans="1:7">
      <c r="A737" s="36"/>
      <c r="B737" s="37"/>
      <c r="C737" s="25" t="str">
        <f>IF(B737="","",IFERROR(VLOOKUP(B737,FLOTA!$A:$D,4,0)&amp;" — "&amp;VLOOKUP(B737,FLOTA!$A:$D,3,0),IFERROR(VLOOKUP(B737,'FLOTA TERCEROS'!$A:$D,4,0)&amp;" — "&amp;VLOOKUP(B737,'FLOTA TERCEROS'!$A:$D,3,0),"⚠ No encontrado")))</f>
        <v/>
      </c>
      <c r="D737" s="38"/>
      <c r="E737" s="39"/>
      <c r="F737" s="28"/>
      <c r="G737" s="40"/>
    </row>
    <row r="738" spans="1:7">
      <c r="A738" s="36"/>
      <c r="B738" s="37"/>
      <c r="C738" s="25" t="str">
        <f>IF(B738="","",IFERROR(VLOOKUP(B738,FLOTA!$A:$D,4,0)&amp;" — "&amp;VLOOKUP(B738,FLOTA!$A:$D,3,0),IFERROR(VLOOKUP(B738,'FLOTA TERCEROS'!$A:$D,4,0)&amp;" — "&amp;VLOOKUP(B738,'FLOTA TERCEROS'!$A:$D,3,0),"⚠ No encontrado")))</f>
        <v/>
      </c>
      <c r="D738" s="38"/>
      <c r="E738" s="39"/>
      <c r="F738" s="28"/>
      <c r="G738" s="40"/>
    </row>
    <row r="739" spans="1:7">
      <c r="A739" s="36"/>
      <c r="B739" s="37"/>
      <c r="C739" s="25" t="str">
        <f>IF(B739="","",IFERROR(VLOOKUP(B739,FLOTA!$A:$D,4,0)&amp;" — "&amp;VLOOKUP(B739,FLOTA!$A:$D,3,0),IFERROR(VLOOKUP(B739,'FLOTA TERCEROS'!$A:$D,4,0)&amp;" — "&amp;VLOOKUP(B739,'FLOTA TERCEROS'!$A:$D,3,0),"⚠ No encontrado")))</f>
        <v/>
      </c>
      <c r="D739" s="38"/>
      <c r="E739" s="39"/>
      <c r="F739" s="28"/>
      <c r="G739" s="40"/>
    </row>
    <row r="740" spans="1:7">
      <c r="A740" s="36"/>
      <c r="B740" s="37"/>
      <c r="C740" s="25" t="str">
        <f>IF(B740="","",IFERROR(VLOOKUP(B740,FLOTA!$A:$D,4,0)&amp;" — "&amp;VLOOKUP(B740,FLOTA!$A:$D,3,0),IFERROR(VLOOKUP(B740,'FLOTA TERCEROS'!$A:$D,4,0)&amp;" — "&amp;VLOOKUP(B740,'FLOTA TERCEROS'!$A:$D,3,0),"⚠ No encontrado")))</f>
        <v/>
      </c>
      <c r="D740" s="38"/>
      <c r="E740" s="39"/>
      <c r="F740" s="28"/>
      <c r="G740" s="40"/>
    </row>
    <row r="741" spans="1:7">
      <c r="A741" s="36"/>
      <c r="B741" s="37"/>
      <c r="C741" s="25" t="str">
        <f>IF(B741="","",IFERROR(VLOOKUP(B741,FLOTA!$A:$D,4,0)&amp;" — "&amp;VLOOKUP(B741,FLOTA!$A:$D,3,0),IFERROR(VLOOKUP(B741,'FLOTA TERCEROS'!$A:$D,4,0)&amp;" — "&amp;VLOOKUP(B741,'FLOTA TERCEROS'!$A:$D,3,0),"⚠ No encontrado")))</f>
        <v/>
      </c>
      <c r="D741" s="38"/>
      <c r="E741" s="39"/>
      <c r="F741" s="28"/>
      <c r="G741" s="40"/>
    </row>
    <row r="742" spans="1:7">
      <c r="A742" s="36"/>
      <c r="B742" s="37"/>
      <c r="C742" s="25" t="str">
        <f>IF(B742="","",IFERROR(VLOOKUP(B742,FLOTA!$A:$D,4,0)&amp;" — "&amp;VLOOKUP(B742,FLOTA!$A:$D,3,0),IFERROR(VLOOKUP(B742,'FLOTA TERCEROS'!$A:$D,4,0)&amp;" — "&amp;VLOOKUP(B742,'FLOTA TERCEROS'!$A:$D,3,0),"⚠ No encontrado")))</f>
        <v/>
      </c>
      <c r="D742" s="38"/>
      <c r="E742" s="39"/>
      <c r="F742" s="28"/>
      <c r="G742" s="40"/>
    </row>
    <row r="743" spans="1:7">
      <c r="A743" s="36"/>
      <c r="B743" s="37"/>
      <c r="C743" s="25" t="str">
        <f>IF(B743="","",IFERROR(VLOOKUP(B743,FLOTA!$A:$D,4,0)&amp;" — "&amp;VLOOKUP(B743,FLOTA!$A:$D,3,0),IFERROR(VLOOKUP(B743,'FLOTA TERCEROS'!$A:$D,4,0)&amp;" — "&amp;VLOOKUP(B743,'FLOTA TERCEROS'!$A:$D,3,0),"⚠ No encontrado")))</f>
        <v/>
      </c>
      <c r="D743" s="38"/>
      <c r="E743" s="39"/>
      <c r="F743" s="28"/>
      <c r="G743" s="40"/>
    </row>
    <row r="744" spans="1:7">
      <c r="A744" s="36"/>
      <c r="B744" s="37"/>
      <c r="C744" s="25" t="str">
        <f>IF(B744="","",IFERROR(VLOOKUP(B744,FLOTA!$A:$D,4,0)&amp;" — "&amp;VLOOKUP(B744,FLOTA!$A:$D,3,0),IFERROR(VLOOKUP(B744,'FLOTA TERCEROS'!$A:$D,4,0)&amp;" — "&amp;VLOOKUP(B744,'FLOTA TERCEROS'!$A:$D,3,0),"⚠ No encontrado")))</f>
        <v/>
      </c>
      <c r="D744" s="38"/>
      <c r="E744" s="39"/>
      <c r="F744" s="28"/>
      <c r="G744" s="40"/>
    </row>
    <row r="745" spans="1:7">
      <c r="A745" s="36"/>
      <c r="B745" s="37"/>
      <c r="C745" s="25" t="str">
        <f>IF(B745="","",IFERROR(VLOOKUP(B745,FLOTA!$A:$D,4,0)&amp;" — "&amp;VLOOKUP(B745,FLOTA!$A:$D,3,0),IFERROR(VLOOKUP(B745,'FLOTA TERCEROS'!$A:$D,4,0)&amp;" — "&amp;VLOOKUP(B745,'FLOTA TERCEROS'!$A:$D,3,0),"⚠ No encontrado")))</f>
        <v/>
      </c>
      <c r="D745" s="38"/>
      <c r="E745" s="39"/>
      <c r="F745" s="28"/>
      <c r="G745" s="40"/>
    </row>
    <row r="746" spans="1:7">
      <c r="A746" s="36"/>
      <c r="B746" s="37"/>
      <c r="C746" s="25" t="str">
        <f>IF(B746="","",IFERROR(VLOOKUP(B746,FLOTA!$A:$D,4,0)&amp;" — "&amp;VLOOKUP(B746,FLOTA!$A:$D,3,0),IFERROR(VLOOKUP(B746,'FLOTA TERCEROS'!$A:$D,4,0)&amp;" — "&amp;VLOOKUP(B746,'FLOTA TERCEROS'!$A:$D,3,0),"⚠ No encontrado")))</f>
        <v/>
      </c>
      <c r="D746" s="38"/>
      <c r="E746" s="39"/>
      <c r="F746" s="28"/>
      <c r="G746" s="40"/>
    </row>
    <row r="747" spans="1:7">
      <c r="A747" s="36"/>
      <c r="B747" s="37"/>
      <c r="C747" s="25" t="str">
        <f>IF(B747="","",IFERROR(VLOOKUP(B747,FLOTA!$A:$D,4,0)&amp;" — "&amp;VLOOKUP(B747,FLOTA!$A:$D,3,0),IFERROR(VLOOKUP(B747,'FLOTA TERCEROS'!$A:$D,4,0)&amp;" — "&amp;VLOOKUP(B747,'FLOTA TERCEROS'!$A:$D,3,0),"⚠ No encontrado")))</f>
        <v/>
      </c>
      <c r="D747" s="38"/>
      <c r="E747" s="39"/>
      <c r="F747" s="28"/>
      <c r="G747" s="40"/>
    </row>
    <row r="748" spans="1:7">
      <c r="A748" s="36"/>
      <c r="B748" s="37"/>
      <c r="C748" s="25" t="str">
        <f>IF(B748="","",IFERROR(VLOOKUP(B748,FLOTA!$A:$D,4,0)&amp;" — "&amp;VLOOKUP(B748,FLOTA!$A:$D,3,0),IFERROR(VLOOKUP(B748,'FLOTA TERCEROS'!$A:$D,4,0)&amp;" — "&amp;VLOOKUP(B748,'FLOTA TERCEROS'!$A:$D,3,0),"⚠ No encontrado")))</f>
        <v/>
      </c>
      <c r="D748" s="38"/>
      <c r="E748" s="39"/>
      <c r="F748" s="28"/>
      <c r="G748" s="40"/>
    </row>
    <row r="749" spans="1:7">
      <c r="A749" s="36"/>
      <c r="B749" s="37"/>
      <c r="C749" s="25" t="str">
        <f>IF(B749="","",IFERROR(VLOOKUP(B749,FLOTA!$A:$D,4,0)&amp;" — "&amp;VLOOKUP(B749,FLOTA!$A:$D,3,0),IFERROR(VLOOKUP(B749,'FLOTA TERCEROS'!$A:$D,4,0)&amp;" — "&amp;VLOOKUP(B749,'FLOTA TERCEROS'!$A:$D,3,0),"⚠ No encontrado")))</f>
        <v/>
      </c>
      <c r="D749" s="38"/>
      <c r="E749" s="39"/>
      <c r="F749" s="28"/>
      <c r="G749" s="40"/>
    </row>
    <row r="750" spans="1:7">
      <c r="A750" s="36"/>
      <c r="B750" s="37"/>
      <c r="C750" s="25" t="str">
        <f>IF(B750="","",IFERROR(VLOOKUP(B750,FLOTA!$A:$D,4,0)&amp;" — "&amp;VLOOKUP(B750,FLOTA!$A:$D,3,0),IFERROR(VLOOKUP(B750,'FLOTA TERCEROS'!$A:$D,4,0)&amp;" — "&amp;VLOOKUP(B750,'FLOTA TERCEROS'!$A:$D,3,0),"⚠ No encontrado")))</f>
        <v/>
      </c>
      <c r="D750" s="38"/>
      <c r="E750" s="39"/>
      <c r="F750" s="28"/>
      <c r="G750" s="40"/>
    </row>
    <row r="751" spans="1:7">
      <c r="A751" s="36"/>
      <c r="B751" s="37"/>
      <c r="C751" s="25" t="str">
        <f>IF(B751="","",IFERROR(VLOOKUP(B751,FLOTA!$A:$D,4,0)&amp;" — "&amp;VLOOKUP(B751,FLOTA!$A:$D,3,0),IFERROR(VLOOKUP(B751,'FLOTA TERCEROS'!$A:$D,4,0)&amp;" — "&amp;VLOOKUP(B751,'FLOTA TERCEROS'!$A:$D,3,0),"⚠ No encontrado")))</f>
        <v/>
      </c>
      <c r="D751" s="38"/>
      <c r="E751" s="39"/>
      <c r="F751" s="28"/>
      <c r="G751" s="40"/>
    </row>
    <row r="752" spans="1:7">
      <c r="A752" s="36"/>
      <c r="B752" s="37"/>
      <c r="C752" s="25" t="str">
        <f>IF(B752="","",IFERROR(VLOOKUP(B752,FLOTA!$A:$D,4,0)&amp;" — "&amp;VLOOKUP(B752,FLOTA!$A:$D,3,0),IFERROR(VLOOKUP(B752,'FLOTA TERCEROS'!$A:$D,4,0)&amp;" — "&amp;VLOOKUP(B752,'FLOTA TERCEROS'!$A:$D,3,0),"⚠ No encontrado")))</f>
        <v/>
      </c>
      <c r="D752" s="38"/>
      <c r="E752" s="39"/>
      <c r="F752" s="28"/>
      <c r="G752" s="40"/>
    </row>
    <row r="753" spans="1:7">
      <c r="A753" s="36"/>
      <c r="B753" s="37"/>
      <c r="C753" s="25" t="str">
        <f>IF(B753="","",IFERROR(VLOOKUP(B753,FLOTA!$A:$D,4,0)&amp;" — "&amp;VLOOKUP(B753,FLOTA!$A:$D,3,0),IFERROR(VLOOKUP(B753,'FLOTA TERCEROS'!$A:$D,4,0)&amp;" — "&amp;VLOOKUP(B753,'FLOTA TERCEROS'!$A:$D,3,0),"⚠ No encontrado")))</f>
        <v/>
      </c>
      <c r="D753" s="38"/>
      <c r="E753" s="39"/>
      <c r="F753" s="28"/>
      <c r="G753" s="40"/>
    </row>
    <row r="754" spans="1:7">
      <c r="A754" s="36"/>
      <c r="B754" s="37"/>
      <c r="C754" s="25" t="str">
        <f>IF(B754="","",IFERROR(VLOOKUP(B754,FLOTA!$A:$D,4,0)&amp;" — "&amp;VLOOKUP(B754,FLOTA!$A:$D,3,0),IFERROR(VLOOKUP(B754,'FLOTA TERCEROS'!$A:$D,4,0)&amp;" — "&amp;VLOOKUP(B754,'FLOTA TERCEROS'!$A:$D,3,0),"⚠ No encontrado")))</f>
        <v/>
      </c>
      <c r="D754" s="38"/>
      <c r="E754" s="39"/>
      <c r="F754" s="28"/>
      <c r="G754" s="40"/>
    </row>
    <row r="755" spans="1:7">
      <c r="A755" s="36"/>
      <c r="B755" s="37"/>
      <c r="C755" s="25" t="str">
        <f>IF(B755="","",IFERROR(VLOOKUP(B755,FLOTA!$A:$D,4,0)&amp;" — "&amp;VLOOKUP(B755,FLOTA!$A:$D,3,0),IFERROR(VLOOKUP(B755,'FLOTA TERCEROS'!$A:$D,4,0)&amp;" — "&amp;VLOOKUP(B755,'FLOTA TERCEROS'!$A:$D,3,0),"⚠ No encontrado")))</f>
        <v/>
      </c>
      <c r="D755" s="38"/>
      <c r="E755" s="39"/>
      <c r="F755" s="28"/>
      <c r="G755" s="40"/>
    </row>
    <row r="756" spans="1:7">
      <c r="A756" s="36"/>
      <c r="B756" s="37"/>
      <c r="C756" s="25" t="str">
        <f>IF(B756="","",IFERROR(VLOOKUP(B756,FLOTA!$A:$D,4,0)&amp;" — "&amp;VLOOKUP(B756,FLOTA!$A:$D,3,0),IFERROR(VLOOKUP(B756,'FLOTA TERCEROS'!$A:$D,4,0)&amp;" — "&amp;VLOOKUP(B756,'FLOTA TERCEROS'!$A:$D,3,0),"⚠ No encontrado")))</f>
        <v/>
      </c>
      <c r="D756" s="38"/>
      <c r="E756" s="39"/>
      <c r="F756" s="28"/>
      <c r="G756" s="40"/>
    </row>
    <row r="757" spans="1:7">
      <c r="A757" s="36"/>
      <c r="B757" s="37"/>
      <c r="C757" s="25" t="str">
        <f>IF(B757="","",IFERROR(VLOOKUP(B757,FLOTA!$A:$D,4,0)&amp;" — "&amp;VLOOKUP(B757,FLOTA!$A:$D,3,0),IFERROR(VLOOKUP(B757,'FLOTA TERCEROS'!$A:$D,4,0)&amp;" — "&amp;VLOOKUP(B757,'FLOTA TERCEROS'!$A:$D,3,0),"⚠ No encontrado")))</f>
        <v/>
      </c>
      <c r="D757" s="38"/>
      <c r="E757" s="39"/>
      <c r="F757" s="28"/>
      <c r="G757" s="40"/>
    </row>
    <row r="758" spans="1:7">
      <c r="A758" s="36"/>
      <c r="B758" s="37"/>
      <c r="C758" s="25" t="str">
        <f>IF(B758="","",IFERROR(VLOOKUP(B758,FLOTA!$A:$D,4,0)&amp;" — "&amp;VLOOKUP(B758,FLOTA!$A:$D,3,0),IFERROR(VLOOKUP(B758,'FLOTA TERCEROS'!$A:$D,4,0)&amp;" — "&amp;VLOOKUP(B758,'FLOTA TERCEROS'!$A:$D,3,0),"⚠ No encontrado")))</f>
        <v/>
      </c>
      <c r="D758" s="38"/>
      <c r="E758" s="39"/>
      <c r="F758" s="28"/>
      <c r="G758" s="40"/>
    </row>
    <row r="759" spans="1:7">
      <c r="A759" s="36"/>
      <c r="B759" s="37"/>
      <c r="C759" s="25" t="str">
        <f>IF(B759="","",IFERROR(VLOOKUP(B759,FLOTA!$A:$D,4,0)&amp;" — "&amp;VLOOKUP(B759,FLOTA!$A:$D,3,0),IFERROR(VLOOKUP(B759,'FLOTA TERCEROS'!$A:$D,4,0)&amp;" — "&amp;VLOOKUP(B759,'FLOTA TERCEROS'!$A:$D,3,0),"⚠ No encontrado")))</f>
        <v/>
      </c>
      <c r="D759" s="38"/>
      <c r="E759" s="39"/>
      <c r="F759" s="28"/>
      <c r="G759" s="40"/>
    </row>
    <row r="760" spans="1:7">
      <c r="A760" s="36"/>
      <c r="B760" s="37"/>
      <c r="C760" s="25" t="str">
        <f>IF(B760="","",IFERROR(VLOOKUP(B760,FLOTA!$A:$D,4,0)&amp;" — "&amp;VLOOKUP(B760,FLOTA!$A:$D,3,0),IFERROR(VLOOKUP(B760,'FLOTA TERCEROS'!$A:$D,4,0)&amp;" — "&amp;VLOOKUP(B760,'FLOTA TERCEROS'!$A:$D,3,0),"⚠ No encontrado")))</f>
        <v/>
      </c>
      <c r="D760" s="38"/>
      <c r="E760" s="39"/>
      <c r="F760" s="28"/>
      <c r="G760" s="40"/>
    </row>
    <row r="761" spans="1:7">
      <c r="A761" s="36"/>
      <c r="B761" s="37"/>
      <c r="C761" s="25" t="str">
        <f>IF(B761="","",IFERROR(VLOOKUP(B761,FLOTA!$A:$D,4,0)&amp;" — "&amp;VLOOKUP(B761,FLOTA!$A:$D,3,0),IFERROR(VLOOKUP(B761,'FLOTA TERCEROS'!$A:$D,4,0)&amp;" — "&amp;VLOOKUP(B761,'FLOTA TERCEROS'!$A:$D,3,0),"⚠ No encontrado")))</f>
        <v/>
      </c>
      <c r="D761" s="38"/>
      <c r="E761" s="39"/>
      <c r="F761" s="28"/>
      <c r="G761" s="40"/>
    </row>
    <row r="762" spans="1:7">
      <c r="A762" s="36"/>
      <c r="B762" s="37"/>
      <c r="C762" s="25" t="str">
        <f>IF(B762="","",IFERROR(VLOOKUP(B762,FLOTA!$A:$D,4,0)&amp;" — "&amp;VLOOKUP(B762,FLOTA!$A:$D,3,0),IFERROR(VLOOKUP(B762,'FLOTA TERCEROS'!$A:$D,4,0)&amp;" — "&amp;VLOOKUP(B762,'FLOTA TERCEROS'!$A:$D,3,0),"⚠ No encontrado")))</f>
        <v/>
      </c>
      <c r="D762" s="38"/>
      <c r="E762" s="39"/>
      <c r="F762" s="28"/>
      <c r="G762" s="40"/>
    </row>
    <row r="763" spans="1:7">
      <c r="A763" s="36"/>
      <c r="B763" s="37"/>
      <c r="C763" s="25" t="str">
        <f>IF(B763="","",IFERROR(VLOOKUP(B763,FLOTA!$A:$D,4,0)&amp;" — "&amp;VLOOKUP(B763,FLOTA!$A:$D,3,0),IFERROR(VLOOKUP(B763,'FLOTA TERCEROS'!$A:$D,4,0)&amp;" — "&amp;VLOOKUP(B763,'FLOTA TERCEROS'!$A:$D,3,0),"⚠ No encontrado")))</f>
        <v/>
      </c>
      <c r="D763" s="38"/>
      <c r="E763" s="39"/>
      <c r="F763" s="28"/>
      <c r="G763" s="40"/>
    </row>
    <row r="764" spans="1:7">
      <c r="A764" s="36"/>
      <c r="B764" s="37"/>
      <c r="C764" s="25" t="str">
        <f>IF(B764="","",IFERROR(VLOOKUP(B764,FLOTA!$A:$D,4,0)&amp;" — "&amp;VLOOKUP(B764,FLOTA!$A:$D,3,0),IFERROR(VLOOKUP(B764,'FLOTA TERCEROS'!$A:$D,4,0)&amp;" — "&amp;VLOOKUP(B764,'FLOTA TERCEROS'!$A:$D,3,0),"⚠ No encontrado")))</f>
        <v/>
      </c>
      <c r="D764" s="38"/>
      <c r="E764" s="39"/>
      <c r="F764" s="28"/>
      <c r="G764" s="40"/>
    </row>
    <row r="765" spans="1:7">
      <c r="A765" s="36"/>
      <c r="B765" s="37"/>
      <c r="C765" s="25" t="str">
        <f>IF(B765="","",IFERROR(VLOOKUP(B765,FLOTA!$A:$D,4,0)&amp;" — "&amp;VLOOKUP(B765,FLOTA!$A:$D,3,0),IFERROR(VLOOKUP(B765,'FLOTA TERCEROS'!$A:$D,4,0)&amp;" — "&amp;VLOOKUP(B765,'FLOTA TERCEROS'!$A:$D,3,0),"⚠ No encontrado")))</f>
        <v/>
      </c>
      <c r="D765" s="38"/>
      <c r="E765" s="39"/>
      <c r="F765" s="28"/>
      <c r="G765" s="40"/>
    </row>
    <row r="766" spans="1:7">
      <c r="A766" s="36"/>
      <c r="B766" s="37"/>
      <c r="C766" s="25" t="str">
        <f>IF(B766="","",IFERROR(VLOOKUP(B766,FLOTA!$A:$D,4,0)&amp;" — "&amp;VLOOKUP(B766,FLOTA!$A:$D,3,0),IFERROR(VLOOKUP(B766,'FLOTA TERCEROS'!$A:$D,4,0)&amp;" — "&amp;VLOOKUP(B766,'FLOTA TERCEROS'!$A:$D,3,0),"⚠ No encontrado")))</f>
        <v/>
      </c>
      <c r="D766" s="38"/>
      <c r="E766" s="39"/>
      <c r="F766" s="28"/>
      <c r="G766" s="40"/>
    </row>
    <row r="767" spans="1:7">
      <c r="A767" s="36"/>
      <c r="B767" s="37"/>
      <c r="C767" s="25" t="str">
        <f>IF(B767="","",IFERROR(VLOOKUP(B767,FLOTA!$A:$D,4,0)&amp;" — "&amp;VLOOKUP(B767,FLOTA!$A:$D,3,0),IFERROR(VLOOKUP(B767,'FLOTA TERCEROS'!$A:$D,4,0)&amp;" — "&amp;VLOOKUP(B767,'FLOTA TERCEROS'!$A:$D,3,0),"⚠ No encontrado")))</f>
        <v/>
      </c>
      <c r="D767" s="38"/>
      <c r="E767" s="39"/>
      <c r="F767" s="28"/>
      <c r="G767" s="40"/>
    </row>
    <row r="768" spans="1:7">
      <c r="A768" s="36"/>
      <c r="B768" s="37"/>
      <c r="C768" s="25" t="str">
        <f>IF(B768="","",IFERROR(VLOOKUP(B768,FLOTA!$A:$D,4,0)&amp;" — "&amp;VLOOKUP(B768,FLOTA!$A:$D,3,0),IFERROR(VLOOKUP(B768,'FLOTA TERCEROS'!$A:$D,4,0)&amp;" — "&amp;VLOOKUP(B768,'FLOTA TERCEROS'!$A:$D,3,0),"⚠ No encontrado")))</f>
        <v/>
      </c>
      <c r="D768" s="38"/>
      <c r="E768" s="39"/>
      <c r="F768" s="28"/>
      <c r="G768" s="40"/>
    </row>
    <row r="769" spans="1:7">
      <c r="A769" s="36"/>
      <c r="B769" s="37"/>
      <c r="C769" s="25" t="str">
        <f>IF(B769="","",IFERROR(VLOOKUP(B769,FLOTA!$A:$D,4,0)&amp;" — "&amp;VLOOKUP(B769,FLOTA!$A:$D,3,0),IFERROR(VLOOKUP(B769,'FLOTA TERCEROS'!$A:$D,4,0)&amp;" — "&amp;VLOOKUP(B769,'FLOTA TERCEROS'!$A:$D,3,0),"⚠ No encontrado")))</f>
        <v/>
      </c>
      <c r="D769" s="38"/>
      <c r="E769" s="39"/>
      <c r="F769" s="28"/>
      <c r="G769" s="40"/>
    </row>
    <row r="770" spans="1:7">
      <c r="A770" s="36"/>
      <c r="B770" s="37"/>
      <c r="C770" s="25" t="str">
        <f>IF(B770="","",IFERROR(VLOOKUP(B770,FLOTA!$A:$D,4,0)&amp;" — "&amp;VLOOKUP(B770,FLOTA!$A:$D,3,0),IFERROR(VLOOKUP(B770,'FLOTA TERCEROS'!$A:$D,4,0)&amp;" — "&amp;VLOOKUP(B770,'FLOTA TERCEROS'!$A:$D,3,0),"⚠ No encontrado")))</f>
        <v/>
      </c>
      <c r="D770" s="38"/>
      <c r="E770" s="39"/>
      <c r="F770" s="28"/>
      <c r="G770" s="40"/>
    </row>
    <row r="771" spans="1:7">
      <c r="A771" s="36"/>
      <c r="B771" s="37"/>
      <c r="C771" s="25" t="str">
        <f>IF(B771="","",IFERROR(VLOOKUP(B771,FLOTA!$A:$D,4,0)&amp;" — "&amp;VLOOKUP(B771,FLOTA!$A:$D,3,0),IFERROR(VLOOKUP(B771,'FLOTA TERCEROS'!$A:$D,4,0)&amp;" — "&amp;VLOOKUP(B771,'FLOTA TERCEROS'!$A:$D,3,0),"⚠ No encontrado")))</f>
        <v/>
      </c>
      <c r="D771" s="38"/>
      <c r="E771" s="39"/>
      <c r="F771" s="28"/>
      <c r="G771" s="40"/>
    </row>
    <row r="772" spans="1:7">
      <c r="A772" s="36"/>
      <c r="B772" s="37"/>
      <c r="C772" s="25" t="str">
        <f>IF(B772="","",IFERROR(VLOOKUP(B772,FLOTA!$A:$D,4,0)&amp;" — "&amp;VLOOKUP(B772,FLOTA!$A:$D,3,0),IFERROR(VLOOKUP(B772,'FLOTA TERCEROS'!$A:$D,4,0)&amp;" — "&amp;VLOOKUP(B772,'FLOTA TERCEROS'!$A:$D,3,0),"⚠ No encontrado")))</f>
        <v/>
      </c>
      <c r="D772" s="38"/>
      <c r="E772" s="39"/>
      <c r="F772" s="28"/>
      <c r="G772" s="40"/>
    </row>
    <row r="773" spans="1:7">
      <c r="A773" s="36"/>
      <c r="B773" s="37"/>
      <c r="C773" s="25" t="str">
        <f>IF(B773="","",IFERROR(VLOOKUP(B773,FLOTA!$A:$D,4,0)&amp;" — "&amp;VLOOKUP(B773,FLOTA!$A:$D,3,0),IFERROR(VLOOKUP(B773,'FLOTA TERCEROS'!$A:$D,4,0)&amp;" — "&amp;VLOOKUP(B773,'FLOTA TERCEROS'!$A:$D,3,0),"⚠ No encontrado")))</f>
        <v/>
      </c>
      <c r="D773" s="38"/>
      <c r="E773" s="39"/>
      <c r="F773" s="28"/>
      <c r="G773" s="40"/>
    </row>
    <row r="774" spans="1:7">
      <c r="A774" s="36"/>
      <c r="B774" s="37"/>
      <c r="C774" s="25" t="str">
        <f>IF(B774="","",IFERROR(VLOOKUP(B774,FLOTA!$A:$D,4,0)&amp;" — "&amp;VLOOKUP(B774,FLOTA!$A:$D,3,0),IFERROR(VLOOKUP(B774,'FLOTA TERCEROS'!$A:$D,4,0)&amp;" — "&amp;VLOOKUP(B774,'FLOTA TERCEROS'!$A:$D,3,0),"⚠ No encontrado")))</f>
        <v/>
      </c>
      <c r="D774" s="38"/>
      <c r="E774" s="39"/>
      <c r="F774" s="28"/>
      <c r="G774" s="40"/>
    </row>
    <row r="775" spans="1:7">
      <c r="A775" s="36"/>
      <c r="B775" s="37"/>
      <c r="C775" s="25" t="str">
        <f>IF(B775="","",IFERROR(VLOOKUP(B775,FLOTA!$A:$D,4,0)&amp;" — "&amp;VLOOKUP(B775,FLOTA!$A:$D,3,0),IFERROR(VLOOKUP(B775,'FLOTA TERCEROS'!$A:$D,4,0)&amp;" — "&amp;VLOOKUP(B775,'FLOTA TERCEROS'!$A:$D,3,0),"⚠ No encontrado")))</f>
        <v/>
      </c>
      <c r="D775" s="38"/>
      <c r="E775" s="39"/>
      <c r="F775" s="28"/>
      <c r="G775" s="40"/>
    </row>
    <row r="776" spans="1:7">
      <c r="A776" s="36"/>
      <c r="B776" s="37"/>
      <c r="C776" s="25" t="str">
        <f>IF(B776="","",IFERROR(VLOOKUP(B776,FLOTA!$A:$D,4,0)&amp;" — "&amp;VLOOKUP(B776,FLOTA!$A:$D,3,0),IFERROR(VLOOKUP(B776,'FLOTA TERCEROS'!$A:$D,4,0)&amp;" — "&amp;VLOOKUP(B776,'FLOTA TERCEROS'!$A:$D,3,0),"⚠ No encontrado")))</f>
        <v/>
      </c>
      <c r="D776" s="38"/>
      <c r="E776" s="39"/>
      <c r="F776" s="28"/>
      <c r="G776" s="40"/>
    </row>
    <row r="777" spans="1:7">
      <c r="A777" s="36"/>
      <c r="B777" s="37"/>
      <c r="C777" s="25" t="str">
        <f>IF(B777="","",IFERROR(VLOOKUP(B777,FLOTA!$A:$D,4,0)&amp;" — "&amp;VLOOKUP(B777,FLOTA!$A:$D,3,0),IFERROR(VLOOKUP(B777,'FLOTA TERCEROS'!$A:$D,4,0)&amp;" — "&amp;VLOOKUP(B777,'FLOTA TERCEROS'!$A:$D,3,0),"⚠ No encontrado")))</f>
        <v/>
      </c>
      <c r="D777" s="38"/>
      <c r="E777" s="39"/>
      <c r="F777" s="28"/>
      <c r="G777" s="40"/>
    </row>
    <row r="778" spans="1:7">
      <c r="A778" s="36"/>
      <c r="B778" s="37"/>
      <c r="C778" s="25" t="str">
        <f>IF(B778="","",IFERROR(VLOOKUP(B778,FLOTA!$A:$D,4,0)&amp;" — "&amp;VLOOKUP(B778,FLOTA!$A:$D,3,0),IFERROR(VLOOKUP(B778,'FLOTA TERCEROS'!$A:$D,4,0)&amp;" — "&amp;VLOOKUP(B778,'FLOTA TERCEROS'!$A:$D,3,0),"⚠ No encontrado")))</f>
        <v/>
      </c>
      <c r="D778" s="38"/>
      <c r="E778" s="39"/>
      <c r="F778" s="28"/>
      <c r="G778" s="40"/>
    </row>
    <row r="779" spans="1:7">
      <c r="A779" s="36"/>
      <c r="B779" s="37"/>
      <c r="C779" s="25" t="str">
        <f>IF(B779="","",IFERROR(VLOOKUP(B779,FLOTA!$A:$D,4,0)&amp;" — "&amp;VLOOKUP(B779,FLOTA!$A:$D,3,0),IFERROR(VLOOKUP(B779,'FLOTA TERCEROS'!$A:$D,4,0)&amp;" — "&amp;VLOOKUP(B779,'FLOTA TERCEROS'!$A:$D,3,0),"⚠ No encontrado")))</f>
        <v/>
      </c>
      <c r="D779" s="38"/>
      <c r="E779" s="39"/>
      <c r="F779" s="28"/>
      <c r="G779" s="40"/>
    </row>
    <row r="780" spans="1:7">
      <c r="A780" s="36"/>
      <c r="B780" s="37"/>
      <c r="C780" s="25" t="str">
        <f>IF(B780="","",IFERROR(VLOOKUP(B780,FLOTA!$A:$D,4,0)&amp;" — "&amp;VLOOKUP(B780,FLOTA!$A:$D,3,0),IFERROR(VLOOKUP(B780,'FLOTA TERCEROS'!$A:$D,4,0)&amp;" — "&amp;VLOOKUP(B780,'FLOTA TERCEROS'!$A:$D,3,0),"⚠ No encontrado")))</f>
        <v/>
      </c>
      <c r="D780" s="38"/>
      <c r="E780" s="39"/>
      <c r="F780" s="28"/>
      <c r="G780" s="40"/>
    </row>
    <row r="781" spans="1:7">
      <c r="A781" s="36"/>
      <c r="B781" s="37"/>
      <c r="C781" s="25" t="str">
        <f>IF(B781="","",IFERROR(VLOOKUP(B781,FLOTA!$A:$D,4,0)&amp;" — "&amp;VLOOKUP(B781,FLOTA!$A:$D,3,0),IFERROR(VLOOKUP(B781,'FLOTA TERCEROS'!$A:$D,4,0)&amp;" — "&amp;VLOOKUP(B781,'FLOTA TERCEROS'!$A:$D,3,0),"⚠ No encontrado")))</f>
        <v/>
      </c>
      <c r="D781" s="38"/>
      <c r="E781" s="39"/>
      <c r="F781" s="28"/>
      <c r="G781" s="40"/>
    </row>
    <row r="782" spans="1:7">
      <c r="A782" s="36"/>
      <c r="B782" s="37"/>
      <c r="C782" s="25" t="str">
        <f>IF(B782="","",IFERROR(VLOOKUP(B782,FLOTA!$A:$D,4,0)&amp;" — "&amp;VLOOKUP(B782,FLOTA!$A:$D,3,0),IFERROR(VLOOKUP(B782,'FLOTA TERCEROS'!$A:$D,4,0)&amp;" — "&amp;VLOOKUP(B782,'FLOTA TERCEROS'!$A:$D,3,0),"⚠ No encontrado")))</f>
        <v/>
      </c>
      <c r="D782" s="38"/>
      <c r="E782" s="39"/>
      <c r="F782" s="28"/>
      <c r="G782" s="40"/>
    </row>
    <row r="783" spans="1:7">
      <c r="A783" s="36"/>
      <c r="B783" s="37"/>
      <c r="C783" s="25" t="str">
        <f>IF(B783="","",IFERROR(VLOOKUP(B783,FLOTA!$A:$D,4,0)&amp;" — "&amp;VLOOKUP(B783,FLOTA!$A:$D,3,0),IFERROR(VLOOKUP(B783,'FLOTA TERCEROS'!$A:$D,4,0)&amp;" — "&amp;VLOOKUP(B783,'FLOTA TERCEROS'!$A:$D,3,0),"⚠ No encontrado")))</f>
        <v/>
      </c>
      <c r="D783" s="38"/>
      <c r="E783" s="39"/>
      <c r="F783" s="28"/>
      <c r="G783" s="40"/>
    </row>
    <row r="784" spans="1:7">
      <c r="A784" s="36"/>
      <c r="B784" s="37"/>
      <c r="C784" s="25" t="str">
        <f>IF(B784="","",IFERROR(VLOOKUP(B784,FLOTA!$A:$D,4,0)&amp;" — "&amp;VLOOKUP(B784,FLOTA!$A:$D,3,0),IFERROR(VLOOKUP(B784,'FLOTA TERCEROS'!$A:$D,4,0)&amp;" — "&amp;VLOOKUP(B784,'FLOTA TERCEROS'!$A:$D,3,0),"⚠ No encontrado")))</f>
        <v/>
      </c>
      <c r="D784" s="38"/>
      <c r="E784" s="39"/>
      <c r="F784" s="28"/>
      <c r="G784" s="40"/>
    </row>
    <row r="785" spans="1:7">
      <c r="A785" s="36"/>
      <c r="B785" s="37"/>
      <c r="C785" s="25" t="str">
        <f>IF(B785="","",IFERROR(VLOOKUP(B785,FLOTA!$A:$D,4,0)&amp;" — "&amp;VLOOKUP(B785,FLOTA!$A:$D,3,0),IFERROR(VLOOKUP(B785,'FLOTA TERCEROS'!$A:$D,4,0)&amp;" — "&amp;VLOOKUP(B785,'FLOTA TERCEROS'!$A:$D,3,0),"⚠ No encontrado")))</f>
        <v/>
      </c>
      <c r="D785" s="38"/>
      <c r="E785" s="39"/>
      <c r="F785" s="28"/>
      <c r="G785" s="40"/>
    </row>
    <row r="786" spans="1:7">
      <c r="A786" s="36"/>
      <c r="B786" s="37"/>
      <c r="C786" s="25" t="str">
        <f>IF(B786="","",IFERROR(VLOOKUP(B786,FLOTA!$A:$D,4,0)&amp;" — "&amp;VLOOKUP(B786,FLOTA!$A:$D,3,0),IFERROR(VLOOKUP(B786,'FLOTA TERCEROS'!$A:$D,4,0)&amp;" — "&amp;VLOOKUP(B786,'FLOTA TERCEROS'!$A:$D,3,0),"⚠ No encontrado")))</f>
        <v/>
      </c>
      <c r="D786" s="38"/>
      <c r="E786" s="39"/>
      <c r="F786" s="28"/>
      <c r="G786" s="40"/>
    </row>
    <row r="787" spans="1:7">
      <c r="A787" s="36"/>
      <c r="B787" s="37"/>
      <c r="C787" s="25" t="str">
        <f>IF(B787="","",IFERROR(VLOOKUP(B787,FLOTA!$A:$D,4,0)&amp;" — "&amp;VLOOKUP(B787,FLOTA!$A:$D,3,0),IFERROR(VLOOKUP(B787,'FLOTA TERCEROS'!$A:$D,4,0)&amp;" — "&amp;VLOOKUP(B787,'FLOTA TERCEROS'!$A:$D,3,0),"⚠ No encontrado")))</f>
        <v/>
      </c>
      <c r="D787" s="38"/>
      <c r="E787" s="39"/>
      <c r="F787" s="28"/>
      <c r="G787" s="40"/>
    </row>
    <row r="788" spans="1:7">
      <c r="A788" s="36"/>
      <c r="B788" s="37"/>
      <c r="C788" s="25" t="str">
        <f>IF(B788="","",IFERROR(VLOOKUP(B788,FLOTA!$A:$D,4,0)&amp;" — "&amp;VLOOKUP(B788,FLOTA!$A:$D,3,0),IFERROR(VLOOKUP(B788,'FLOTA TERCEROS'!$A:$D,4,0)&amp;" — "&amp;VLOOKUP(B788,'FLOTA TERCEROS'!$A:$D,3,0),"⚠ No encontrado")))</f>
        <v/>
      </c>
      <c r="D788" s="38"/>
      <c r="E788" s="39"/>
      <c r="F788" s="28"/>
      <c r="G788" s="40"/>
    </row>
    <row r="789" spans="1:7">
      <c r="A789" s="36"/>
      <c r="B789" s="37"/>
      <c r="C789" s="25" t="str">
        <f>IF(B789="","",IFERROR(VLOOKUP(B789,FLOTA!$A:$D,4,0)&amp;" — "&amp;VLOOKUP(B789,FLOTA!$A:$D,3,0),IFERROR(VLOOKUP(B789,'FLOTA TERCEROS'!$A:$D,4,0)&amp;" — "&amp;VLOOKUP(B789,'FLOTA TERCEROS'!$A:$D,3,0),"⚠ No encontrado")))</f>
        <v/>
      </c>
      <c r="D789" s="38"/>
      <c r="E789" s="39"/>
      <c r="F789" s="28"/>
      <c r="G789" s="40"/>
    </row>
    <row r="790" spans="1:7">
      <c r="A790" s="36"/>
      <c r="B790" s="37"/>
      <c r="C790" s="25" t="str">
        <f>IF(B790="","",IFERROR(VLOOKUP(B790,FLOTA!$A:$D,4,0)&amp;" — "&amp;VLOOKUP(B790,FLOTA!$A:$D,3,0),IFERROR(VLOOKUP(B790,'FLOTA TERCEROS'!$A:$D,4,0)&amp;" — "&amp;VLOOKUP(B790,'FLOTA TERCEROS'!$A:$D,3,0),"⚠ No encontrado")))</f>
        <v/>
      </c>
      <c r="D790" s="38"/>
      <c r="E790" s="39"/>
      <c r="F790" s="28"/>
      <c r="G790" s="40"/>
    </row>
    <row r="791" spans="1:7">
      <c r="A791" s="36"/>
      <c r="B791" s="37"/>
      <c r="C791" s="25" t="str">
        <f>IF(B791="","",IFERROR(VLOOKUP(B791,FLOTA!$A:$D,4,0)&amp;" — "&amp;VLOOKUP(B791,FLOTA!$A:$D,3,0),IFERROR(VLOOKUP(B791,'FLOTA TERCEROS'!$A:$D,4,0)&amp;" — "&amp;VLOOKUP(B791,'FLOTA TERCEROS'!$A:$D,3,0),"⚠ No encontrado")))</f>
        <v/>
      </c>
      <c r="D791" s="38"/>
      <c r="E791" s="39"/>
      <c r="F791" s="28"/>
      <c r="G791" s="40"/>
    </row>
    <row r="792" spans="1:7">
      <c r="A792" s="36"/>
      <c r="B792" s="37"/>
      <c r="C792" s="25" t="str">
        <f>IF(B792="","",IFERROR(VLOOKUP(B792,FLOTA!$A:$D,4,0)&amp;" — "&amp;VLOOKUP(B792,FLOTA!$A:$D,3,0),IFERROR(VLOOKUP(B792,'FLOTA TERCEROS'!$A:$D,4,0)&amp;" — "&amp;VLOOKUP(B792,'FLOTA TERCEROS'!$A:$D,3,0),"⚠ No encontrado")))</f>
        <v/>
      </c>
      <c r="D792" s="38"/>
      <c r="E792" s="39"/>
      <c r="F792" s="28"/>
      <c r="G792" s="40"/>
    </row>
    <row r="793" spans="1:7">
      <c r="A793" s="36"/>
      <c r="B793" s="37"/>
      <c r="C793" s="25" t="str">
        <f>IF(B793="","",IFERROR(VLOOKUP(B793,FLOTA!$A:$D,4,0)&amp;" — "&amp;VLOOKUP(B793,FLOTA!$A:$D,3,0),IFERROR(VLOOKUP(B793,'FLOTA TERCEROS'!$A:$D,4,0)&amp;" — "&amp;VLOOKUP(B793,'FLOTA TERCEROS'!$A:$D,3,0),"⚠ No encontrado")))</f>
        <v/>
      </c>
      <c r="D793" s="38"/>
      <c r="E793" s="39"/>
      <c r="F793" s="28"/>
      <c r="G793" s="40"/>
    </row>
    <row r="794" spans="1:7">
      <c r="A794" s="36"/>
      <c r="B794" s="37"/>
      <c r="C794" s="25" t="str">
        <f>IF(B794="","",IFERROR(VLOOKUP(B794,FLOTA!$A:$D,4,0)&amp;" — "&amp;VLOOKUP(B794,FLOTA!$A:$D,3,0),IFERROR(VLOOKUP(B794,'FLOTA TERCEROS'!$A:$D,4,0)&amp;" — "&amp;VLOOKUP(B794,'FLOTA TERCEROS'!$A:$D,3,0),"⚠ No encontrado")))</f>
        <v/>
      </c>
      <c r="D794" s="38"/>
      <c r="E794" s="39"/>
      <c r="F794" s="28"/>
      <c r="G794" s="40"/>
    </row>
    <row r="795" spans="1:7">
      <c r="A795" s="36"/>
      <c r="B795" s="37"/>
      <c r="C795" s="25" t="str">
        <f>IF(B795="","",IFERROR(VLOOKUP(B795,FLOTA!$A:$D,4,0)&amp;" — "&amp;VLOOKUP(B795,FLOTA!$A:$D,3,0),IFERROR(VLOOKUP(B795,'FLOTA TERCEROS'!$A:$D,4,0)&amp;" — "&amp;VLOOKUP(B795,'FLOTA TERCEROS'!$A:$D,3,0),"⚠ No encontrado")))</f>
        <v/>
      </c>
      <c r="D795" s="38"/>
      <c r="E795" s="39"/>
      <c r="F795" s="28"/>
      <c r="G795" s="40"/>
    </row>
    <row r="796" spans="1:7">
      <c r="A796" s="36"/>
      <c r="B796" s="37"/>
      <c r="C796" s="25" t="str">
        <f>IF(B796="","",IFERROR(VLOOKUP(B796,FLOTA!$A:$D,4,0)&amp;" — "&amp;VLOOKUP(B796,FLOTA!$A:$D,3,0),IFERROR(VLOOKUP(B796,'FLOTA TERCEROS'!$A:$D,4,0)&amp;" — "&amp;VLOOKUP(B796,'FLOTA TERCEROS'!$A:$D,3,0),"⚠ No encontrado")))</f>
        <v/>
      </c>
      <c r="D796" s="38"/>
      <c r="E796" s="39"/>
      <c r="F796" s="28"/>
      <c r="G796" s="40"/>
    </row>
    <row r="797" spans="1:7">
      <c r="A797" s="36"/>
      <c r="B797" s="37"/>
      <c r="C797" s="25" t="str">
        <f>IF(B797="","",IFERROR(VLOOKUP(B797,FLOTA!$A:$D,4,0)&amp;" — "&amp;VLOOKUP(B797,FLOTA!$A:$D,3,0),IFERROR(VLOOKUP(B797,'FLOTA TERCEROS'!$A:$D,4,0)&amp;" — "&amp;VLOOKUP(B797,'FLOTA TERCEROS'!$A:$D,3,0),"⚠ No encontrado")))</f>
        <v/>
      </c>
      <c r="D797" s="38"/>
      <c r="E797" s="39"/>
      <c r="F797" s="28"/>
      <c r="G797" s="40"/>
    </row>
    <row r="798" spans="1:7">
      <c r="A798" s="36"/>
      <c r="B798" s="37"/>
      <c r="C798" s="25" t="str">
        <f>IF(B798="","",IFERROR(VLOOKUP(B798,FLOTA!$A:$D,4,0)&amp;" — "&amp;VLOOKUP(B798,FLOTA!$A:$D,3,0),IFERROR(VLOOKUP(B798,'FLOTA TERCEROS'!$A:$D,4,0)&amp;" — "&amp;VLOOKUP(B798,'FLOTA TERCEROS'!$A:$D,3,0),"⚠ No encontrado")))</f>
        <v/>
      </c>
      <c r="D798" s="38"/>
      <c r="E798" s="39"/>
      <c r="F798" s="28"/>
      <c r="G798" s="40"/>
    </row>
    <row r="799" spans="1:7">
      <c r="A799" s="36"/>
      <c r="B799" s="37"/>
      <c r="C799" s="25" t="str">
        <f>IF(B799="","",IFERROR(VLOOKUP(B799,FLOTA!$A:$D,4,0)&amp;" — "&amp;VLOOKUP(B799,FLOTA!$A:$D,3,0),IFERROR(VLOOKUP(B799,'FLOTA TERCEROS'!$A:$D,4,0)&amp;" — "&amp;VLOOKUP(B799,'FLOTA TERCEROS'!$A:$D,3,0),"⚠ No encontrado")))</f>
        <v/>
      </c>
      <c r="D799" s="38"/>
      <c r="E799" s="39"/>
      <c r="F799" s="28"/>
      <c r="G799" s="40"/>
    </row>
    <row r="800" spans="1:7">
      <c r="A800" s="36"/>
      <c r="B800" s="37"/>
      <c r="C800" s="25" t="str">
        <f>IF(B800="","",IFERROR(VLOOKUP(B800,FLOTA!$A:$D,4,0)&amp;" — "&amp;VLOOKUP(B800,FLOTA!$A:$D,3,0),IFERROR(VLOOKUP(B800,'FLOTA TERCEROS'!$A:$D,4,0)&amp;" — "&amp;VLOOKUP(B800,'FLOTA TERCEROS'!$A:$D,3,0),"⚠ No encontrado")))</f>
        <v/>
      </c>
      <c r="D800" s="38"/>
      <c r="E800" s="39"/>
      <c r="F800" s="28"/>
      <c r="G800" s="40"/>
    </row>
    <row r="801" spans="1:7">
      <c r="A801" s="36"/>
      <c r="B801" s="37"/>
      <c r="C801" s="25" t="str">
        <f>IF(B801="","",IFERROR(VLOOKUP(B801,FLOTA!$A:$D,4,0)&amp;" — "&amp;VLOOKUP(B801,FLOTA!$A:$D,3,0),IFERROR(VLOOKUP(B801,'FLOTA TERCEROS'!$A:$D,4,0)&amp;" — "&amp;VLOOKUP(B801,'FLOTA TERCEROS'!$A:$D,3,0),"⚠ No encontrado")))</f>
        <v/>
      </c>
      <c r="D801" s="38"/>
      <c r="E801" s="39"/>
      <c r="F801" s="28"/>
      <c r="G801" s="40"/>
    </row>
    <row r="802" spans="1:7">
      <c r="A802" s="36"/>
      <c r="B802" s="37"/>
      <c r="C802" s="25" t="str">
        <f>IF(B802="","",IFERROR(VLOOKUP(B802,FLOTA!$A:$D,4,0)&amp;" — "&amp;VLOOKUP(B802,FLOTA!$A:$D,3,0),IFERROR(VLOOKUP(B802,'FLOTA TERCEROS'!$A:$D,4,0)&amp;" — "&amp;VLOOKUP(B802,'FLOTA TERCEROS'!$A:$D,3,0),"⚠ No encontrado")))</f>
        <v/>
      </c>
      <c r="D802" s="38"/>
      <c r="E802" s="39"/>
      <c r="F802" s="28"/>
      <c r="G802" s="40"/>
    </row>
    <row r="803" spans="1:7">
      <c r="A803" s="36"/>
      <c r="B803" s="37"/>
      <c r="C803" s="25" t="str">
        <f>IF(B803="","",IFERROR(VLOOKUP(B803,FLOTA!$A:$D,4,0)&amp;" — "&amp;VLOOKUP(B803,FLOTA!$A:$D,3,0),IFERROR(VLOOKUP(B803,'FLOTA TERCEROS'!$A:$D,4,0)&amp;" — "&amp;VLOOKUP(B803,'FLOTA TERCEROS'!$A:$D,3,0),"⚠ No encontrado")))</f>
        <v/>
      </c>
      <c r="D803" s="38"/>
      <c r="E803" s="39"/>
      <c r="F803" s="28"/>
      <c r="G803" s="40"/>
    </row>
    <row r="804" spans="1:7">
      <c r="A804" s="36"/>
      <c r="B804" s="37"/>
      <c r="C804" s="25" t="str">
        <f>IF(B804="","",IFERROR(VLOOKUP(B804,FLOTA!$A:$D,4,0)&amp;" — "&amp;VLOOKUP(B804,FLOTA!$A:$D,3,0),IFERROR(VLOOKUP(B804,'FLOTA TERCEROS'!$A:$D,4,0)&amp;" — "&amp;VLOOKUP(B804,'FLOTA TERCEROS'!$A:$D,3,0),"⚠ No encontrado")))</f>
        <v/>
      </c>
      <c r="D804" s="38"/>
      <c r="E804" s="39"/>
      <c r="F804" s="28"/>
      <c r="G804" s="40"/>
    </row>
    <row r="805" spans="1:7">
      <c r="A805" s="36"/>
      <c r="B805" s="37"/>
      <c r="C805" s="25" t="str">
        <f>IF(B805="","",IFERROR(VLOOKUP(B805,FLOTA!$A:$D,4,0)&amp;" — "&amp;VLOOKUP(B805,FLOTA!$A:$D,3,0),IFERROR(VLOOKUP(B805,'FLOTA TERCEROS'!$A:$D,4,0)&amp;" — "&amp;VLOOKUP(B805,'FLOTA TERCEROS'!$A:$D,3,0),"⚠ No encontrado")))</f>
        <v/>
      </c>
      <c r="D805" s="38"/>
      <c r="E805" s="39"/>
      <c r="F805" s="28"/>
      <c r="G805" s="40"/>
    </row>
    <row r="806" spans="1:7">
      <c r="A806" s="36"/>
      <c r="B806" s="37"/>
      <c r="C806" s="25" t="str">
        <f>IF(B806="","",IFERROR(VLOOKUP(B806,FLOTA!$A:$D,4,0)&amp;" — "&amp;VLOOKUP(B806,FLOTA!$A:$D,3,0),IFERROR(VLOOKUP(B806,'FLOTA TERCEROS'!$A:$D,4,0)&amp;" — "&amp;VLOOKUP(B806,'FLOTA TERCEROS'!$A:$D,3,0),"⚠ No encontrado")))</f>
        <v/>
      </c>
      <c r="D806" s="38"/>
      <c r="E806" s="39"/>
      <c r="F806" s="28"/>
      <c r="G806" s="40"/>
    </row>
    <row r="807" spans="1:7">
      <c r="A807" s="36"/>
      <c r="B807" s="37"/>
      <c r="C807" s="25" t="str">
        <f>IF(B807="","",IFERROR(VLOOKUP(B807,FLOTA!$A:$D,4,0)&amp;" — "&amp;VLOOKUP(B807,FLOTA!$A:$D,3,0),IFERROR(VLOOKUP(B807,'FLOTA TERCEROS'!$A:$D,4,0)&amp;" — "&amp;VLOOKUP(B807,'FLOTA TERCEROS'!$A:$D,3,0),"⚠ No encontrado")))</f>
        <v/>
      </c>
      <c r="D807" s="38"/>
      <c r="E807" s="39"/>
      <c r="F807" s="28"/>
      <c r="G807" s="40"/>
    </row>
    <row r="808" spans="1:7">
      <c r="A808" s="36"/>
      <c r="B808" s="37"/>
      <c r="C808" s="25" t="str">
        <f>IF(B808="","",IFERROR(VLOOKUP(B808,FLOTA!$A:$D,4,0)&amp;" — "&amp;VLOOKUP(B808,FLOTA!$A:$D,3,0),IFERROR(VLOOKUP(B808,'FLOTA TERCEROS'!$A:$D,4,0)&amp;" — "&amp;VLOOKUP(B808,'FLOTA TERCEROS'!$A:$D,3,0),"⚠ No encontrado")))</f>
        <v/>
      </c>
      <c r="D808" s="38"/>
      <c r="E808" s="39"/>
      <c r="F808" s="28"/>
      <c r="G808" s="40"/>
    </row>
    <row r="809" spans="1:7">
      <c r="A809" s="36"/>
      <c r="B809" s="37"/>
      <c r="C809" s="25" t="str">
        <f>IF(B809="","",IFERROR(VLOOKUP(B809,FLOTA!$A:$D,4,0)&amp;" — "&amp;VLOOKUP(B809,FLOTA!$A:$D,3,0),IFERROR(VLOOKUP(B809,'FLOTA TERCEROS'!$A:$D,4,0)&amp;" — "&amp;VLOOKUP(B809,'FLOTA TERCEROS'!$A:$D,3,0),"⚠ No encontrado")))</f>
        <v/>
      </c>
      <c r="D809" s="38"/>
      <c r="E809" s="39"/>
      <c r="F809" s="28"/>
      <c r="G809" s="40"/>
    </row>
    <row r="810" spans="1:7">
      <c r="A810" s="36"/>
      <c r="B810" s="37"/>
      <c r="C810" s="25" t="str">
        <f>IF(B810="","",IFERROR(VLOOKUP(B810,FLOTA!$A:$D,4,0)&amp;" — "&amp;VLOOKUP(B810,FLOTA!$A:$D,3,0),IFERROR(VLOOKUP(B810,'FLOTA TERCEROS'!$A:$D,4,0)&amp;" — "&amp;VLOOKUP(B810,'FLOTA TERCEROS'!$A:$D,3,0),"⚠ No encontrado")))</f>
        <v/>
      </c>
      <c r="D810" s="38"/>
      <c r="E810" s="39"/>
      <c r="F810" s="28"/>
      <c r="G810" s="40"/>
    </row>
    <row r="811" spans="1:7">
      <c r="A811" s="36"/>
      <c r="B811" s="37"/>
      <c r="C811" s="25" t="str">
        <f>IF(B811="","",IFERROR(VLOOKUP(B811,FLOTA!$A:$D,4,0)&amp;" — "&amp;VLOOKUP(B811,FLOTA!$A:$D,3,0),IFERROR(VLOOKUP(B811,'FLOTA TERCEROS'!$A:$D,4,0)&amp;" — "&amp;VLOOKUP(B811,'FLOTA TERCEROS'!$A:$D,3,0),"⚠ No encontrado")))</f>
        <v/>
      </c>
      <c r="D811" s="38"/>
      <c r="E811" s="39"/>
      <c r="F811" s="28"/>
      <c r="G811" s="40"/>
    </row>
    <row r="812" spans="1:7">
      <c r="A812" s="36"/>
      <c r="B812" s="37"/>
      <c r="C812" s="25" t="str">
        <f>IF(B812="","",IFERROR(VLOOKUP(B812,FLOTA!$A:$D,4,0)&amp;" — "&amp;VLOOKUP(B812,FLOTA!$A:$D,3,0),IFERROR(VLOOKUP(B812,'FLOTA TERCEROS'!$A:$D,4,0)&amp;" — "&amp;VLOOKUP(B812,'FLOTA TERCEROS'!$A:$D,3,0),"⚠ No encontrado")))</f>
        <v/>
      </c>
      <c r="D812" s="38"/>
      <c r="E812" s="39"/>
      <c r="F812" s="28"/>
      <c r="G812" s="40"/>
    </row>
    <row r="813" spans="1:7">
      <c r="A813" s="36"/>
      <c r="B813" s="37"/>
      <c r="C813" s="25" t="str">
        <f>IF(B813="","",IFERROR(VLOOKUP(B813,FLOTA!$A:$D,4,0)&amp;" — "&amp;VLOOKUP(B813,FLOTA!$A:$D,3,0),IFERROR(VLOOKUP(B813,'FLOTA TERCEROS'!$A:$D,4,0)&amp;" — "&amp;VLOOKUP(B813,'FLOTA TERCEROS'!$A:$D,3,0),"⚠ No encontrado")))</f>
        <v/>
      </c>
      <c r="D813" s="38"/>
      <c r="E813" s="39"/>
      <c r="F813" s="28"/>
      <c r="G813" s="40"/>
    </row>
    <row r="814" spans="1:7">
      <c r="A814" s="36"/>
      <c r="B814" s="37"/>
      <c r="C814" s="25" t="str">
        <f>IF(B814="","",IFERROR(VLOOKUP(B814,FLOTA!$A:$D,4,0)&amp;" — "&amp;VLOOKUP(B814,FLOTA!$A:$D,3,0),IFERROR(VLOOKUP(B814,'FLOTA TERCEROS'!$A:$D,4,0)&amp;" — "&amp;VLOOKUP(B814,'FLOTA TERCEROS'!$A:$D,3,0),"⚠ No encontrado")))</f>
        <v/>
      </c>
      <c r="D814" s="38"/>
      <c r="E814" s="39"/>
      <c r="F814" s="28"/>
      <c r="G814" s="40"/>
    </row>
    <row r="815" spans="1:7">
      <c r="A815" s="36"/>
      <c r="B815" s="37"/>
      <c r="C815" s="25" t="str">
        <f>IF(B815="","",IFERROR(VLOOKUP(B815,FLOTA!$A:$D,4,0)&amp;" — "&amp;VLOOKUP(B815,FLOTA!$A:$D,3,0),IFERROR(VLOOKUP(B815,'FLOTA TERCEROS'!$A:$D,4,0)&amp;" — "&amp;VLOOKUP(B815,'FLOTA TERCEROS'!$A:$D,3,0),"⚠ No encontrado")))</f>
        <v/>
      </c>
      <c r="D815" s="38"/>
      <c r="E815" s="39"/>
      <c r="F815" s="28"/>
      <c r="G815" s="40"/>
    </row>
    <row r="816" spans="1:7">
      <c r="A816" s="36"/>
      <c r="B816" s="37"/>
      <c r="C816" s="25" t="str">
        <f>IF(B816="","",IFERROR(VLOOKUP(B816,FLOTA!$A:$D,4,0)&amp;" — "&amp;VLOOKUP(B816,FLOTA!$A:$D,3,0),IFERROR(VLOOKUP(B816,'FLOTA TERCEROS'!$A:$D,4,0)&amp;" — "&amp;VLOOKUP(B816,'FLOTA TERCEROS'!$A:$D,3,0),"⚠ No encontrado")))</f>
        <v/>
      </c>
      <c r="D816" s="38"/>
      <c r="E816" s="39"/>
      <c r="F816" s="28"/>
      <c r="G816" s="40"/>
    </row>
    <row r="817" spans="1:7">
      <c r="A817" s="36"/>
      <c r="B817" s="37"/>
      <c r="C817" s="25" t="str">
        <f>IF(B817="","",IFERROR(VLOOKUP(B817,FLOTA!$A:$D,4,0)&amp;" — "&amp;VLOOKUP(B817,FLOTA!$A:$D,3,0),IFERROR(VLOOKUP(B817,'FLOTA TERCEROS'!$A:$D,4,0)&amp;" — "&amp;VLOOKUP(B817,'FLOTA TERCEROS'!$A:$D,3,0),"⚠ No encontrado")))</f>
        <v/>
      </c>
      <c r="D817" s="38"/>
      <c r="E817" s="39"/>
      <c r="F817" s="28"/>
      <c r="G817" s="40"/>
    </row>
    <row r="818" spans="1:7">
      <c r="A818" s="36"/>
      <c r="B818" s="37"/>
      <c r="C818" s="25" t="str">
        <f>IF(B818="","",IFERROR(VLOOKUP(B818,FLOTA!$A:$D,4,0)&amp;" — "&amp;VLOOKUP(B818,FLOTA!$A:$D,3,0),IFERROR(VLOOKUP(B818,'FLOTA TERCEROS'!$A:$D,4,0)&amp;" — "&amp;VLOOKUP(B818,'FLOTA TERCEROS'!$A:$D,3,0),"⚠ No encontrado")))</f>
        <v/>
      </c>
      <c r="D818" s="38"/>
      <c r="E818" s="39"/>
      <c r="F818" s="28"/>
      <c r="G818" s="40"/>
    </row>
    <row r="819" spans="1:7">
      <c r="A819" s="36"/>
      <c r="B819" s="37"/>
      <c r="C819" s="25" t="str">
        <f>IF(B819="","",IFERROR(VLOOKUP(B819,FLOTA!$A:$D,4,0)&amp;" — "&amp;VLOOKUP(B819,FLOTA!$A:$D,3,0),IFERROR(VLOOKUP(B819,'FLOTA TERCEROS'!$A:$D,4,0)&amp;" — "&amp;VLOOKUP(B819,'FLOTA TERCEROS'!$A:$D,3,0),"⚠ No encontrado")))</f>
        <v/>
      </c>
      <c r="D819" s="38"/>
      <c r="E819" s="39"/>
      <c r="F819" s="28"/>
      <c r="G819" s="40"/>
    </row>
    <row r="820" spans="1:7">
      <c r="A820" s="36"/>
      <c r="B820" s="37"/>
      <c r="C820" s="25" t="str">
        <f>IF(B820="","",IFERROR(VLOOKUP(B820,FLOTA!$A:$D,4,0)&amp;" — "&amp;VLOOKUP(B820,FLOTA!$A:$D,3,0),IFERROR(VLOOKUP(B820,'FLOTA TERCEROS'!$A:$D,4,0)&amp;" — "&amp;VLOOKUP(B820,'FLOTA TERCEROS'!$A:$D,3,0),"⚠ No encontrado")))</f>
        <v/>
      </c>
      <c r="D820" s="38"/>
      <c r="E820" s="39"/>
      <c r="F820" s="28"/>
      <c r="G820" s="40"/>
    </row>
    <row r="821" spans="1:7">
      <c r="A821" s="36"/>
      <c r="B821" s="37"/>
      <c r="C821" s="25" t="str">
        <f>IF(B821="","",IFERROR(VLOOKUP(B821,FLOTA!$A:$D,4,0)&amp;" — "&amp;VLOOKUP(B821,FLOTA!$A:$D,3,0),IFERROR(VLOOKUP(B821,'FLOTA TERCEROS'!$A:$D,4,0)&amp;" — "&amp;VLOOKUP(B821,'FLOTA TERCEROS'!$A:$D,3,0),"⚠ No encontrado")))</f>
        <v/>
      </c>
      <c r="D821" s="38"/>
      <c r="E821" s="39"/>
      <c r="F821" s="28"/>
      <c r="G821" s="40"/>
    </row>
    <row r="822" spans="1:7">
      <c r="A822" s="36"/>
      <c r="B822" s="37"/>
      <c r="C822" s="25" t="str">
        <f>IF(B822="","",IFERROR(VLOOKUP(B822,FLOTA!$A:$D,4,0)&amp;" — "&amp;VLOOKUP(B822,FLOTA!$A:$D,3,0),IFERROR(VLOOKUP(B822,'FLOTA TERCEROS'!$A:$D,4,0)&amp;" — "&amp;VLOOKUP(B822,'FLOTA TERCEROS'!$A:$D,3,0),"⚠ No encontrado")))</f>
        <v/>
      </c>
      <c r="D822" s="38"/>
      <c r="E822" s="39"/>
      <c r="F822" s="28"/>
      <c r="G822" s="40"/>
    </row>
    <row r="823" spans="1:7">
      <c r="A823" s="36"/>
      <c r="B823" s="37"/>
      <c r="C823" s="25" t="str">
        <f>IF(B823="","",IFERROR(VLOOKUP(B823,FLOTA!$A:$D,4,0)&amp;" — "&amp;VLOOKUP(B823,FLOTA!$A:$D,3,0),IFERROR(VLOOKUP(B823,'FLOTA TERCEROS'!$A:$D,4,0)&amp;" — "&amp;VLOOKUP(B823,'FLOTA TERCEROS'!$A:$D,3,0),"⚠ No encontrado")))</f>
        <v/>
      </c>
      <c r="D823" s="38"/>
      <c r="E823" s="39"/>
      <c r="F823" s="28"/>
      <c r="G823" s="40"/>
    </row>
    <row r="824" spans="1:7">
      <c r="A824" s="36"/>
      <c r="B824" s="37"/>
      <c r="C824" s="25" t="str">
        <f>IF(B824="","",IFERROR(VLOOKUP(B824,FLOTA!$A:$D,4,0)&amp;" — "&amp;VLOOKUP(B824,FLOTA!$A:$D,3,0),IFERROR(VLOOKUP(B824,'FLOTA TERCEROS'!$A:$D,4,0)&amp;" — "&amp;VLOOKUP(B824,'FLOTA TERCEROS'!$A:$D,3,0),"⚠ No encontrado")))</f>
        <v/>
      </c>
      <c r="D824" s="38"/>
      <c r="E824" s="39"/>
      <c r="F824" s="28"/>
      <c r="G824" s="40"/>
    </row>
    <row r="825" spans="1:7">
      <c r="A825" s="36"/>
      <c r="B825" s="37"/>
      <c r="C825" s="25" t="str">
        <f>IF(B825="","",IFERROR(VLOOKUP(B825,FLOTA!$A:$D,4,0)&amp;" — "&amp;VLOOKUP(B825,FLOTA!$A:$D,3,0),IFERROR(VLOOKUP(B825,'FLOTA TERCEROS'!$A:$D,4,0)&amp;" — "&amp;VLOOKUP(B825,'FLOTA TERCEROS'!$A:$D,3,0),"⚠ No encontrado")))</f>
        <v/>
      </c>
      <c r="D825" s="38"/>
      <c r="E825" s="39"/>
      <c r="F825" s="28"/>
      <c r="G825" s="40"/>
    </row>
    <row r="826" spans="1:7">
      <c r="A826" s="36"/>
      <c r="B826" s="37"/>
      <c r="C826" s="25" t="str">
        <f>IF(B826="","",IFERROR(VLOOKUP(B826,FLOTA!$A:$D,4,0)&amp;" — "&amp;VLOOKUP(B826,FLOTA!$A:$D,3,0),IFERROR(VLOOKUP(B826,'FLOTA TERCEROS'!$A:$D,4,0)&amp;" — "&amp;VLOOKUP(B826,'FLOTA TERCEROS'!$A:$D,3,0),"⚠ No encontrado")))</f>
        <v/>
      </c>
      <c r="D826" s="38"/>
      <c r="E826" s="39"/>
      <c r="F826" s="28"/>
      <c r="G826" s="40"/>
    </row>
    <row r="827" spans="1:7">
      <c r="A827" s="36"/>
      <c r="B827" s="37"/>
      <c r="C827" s="25" t="str">
        <f>IF(B827="","",IFERROR(VLOOKUP(B827,FLOTA!$A:$D,4,0)&amp;" — "&amp;VLOOKUP(B827,FLOTA!$A:$D,3,0),IFERROR(VLOOKUP(B827,'FLOTA TERCEROS'!$A:$D,4,0)&amp;" — "&amp;VLOOKUP(B827,'FLOTA TERCEROS'!$A:$D,3,0),"⚠ No encontrado")))</f>
        <v/>
      </c>
      <c r="D827" s="38"/>
      <c r="E827" s="39"/>
      <c r="F827" s="28"/>
      <c r="G827" s="40"/>
    </row>
    <row r="828" spans="1:7">
      <c r="A828" s="36"/>
      <c r="B828" s="37"/>
      <c r="C828" s="25" t="str">
        <f>IF(B828="","",IFERROR(VLOOKUP(B828,FLOTA!$A:$D,4,0)&amp;" — "&amp;VLOOKUP(B828,FLOTA!$A:$D,3,0),IFERROR(VLOOKUP(B828,'FLOTA TERCEROS'!$A:$D,4,0)&amp;" — "&amp;VLOOKUP(B828,'FLOTA TERCEROS'!$A:$D,3,0),"⚠ No encontrado")))</f>
        <v/>
      </c>
      <c r="D828" s="38"/>
      <c r="E828" s="39"/>
      <c r="F828" s="28"/>
      <c r="G828" s="40"/>
    </row>
    <row r="829" spans="1:7">
      <c r="A829" s="36"/>
      <c r="B829" s="37"/>
      <c r="C829" s="25" t="str">
        <f>IF(B829="","",IFERROR(VLOOKUP(B829,FLOTA!$A:$D,4,0)&amp;" — "&amp;VLOOKUP(B829,FLOTA!$A:$D,3,0),IFERROR(VLOOKUP(B829,'FLOTA TERCEROS'!$A:$D,4,0)&amp;" — "&amp;VLOOKUP(B829,'FLOTA TERCEROS'!$A:$D,3,0),"⚠ No encontrado")))</f>
        <v/>
      </c>
      <c r="D829" s="38"/>
      <c r="E829" s="39"/>
      <c r="F829" s="28"/>
      <c r="G829" s="40"/>
    </row>
    <row r="830" spans="1:7">
      <c r="A830" s="36"/>
      <c r="B830" s="37"/>
      <c r="C830" s="25" t="str">
        <f>IF(B830="","",IFERROR(VLOOKUP(B830,FLOTA!$A:$D,4,0)&amp;" — "&amp;VLOOKUP(B830,FLOTA!$A:$D,3,0),IFERROR(VLOOKUP(B830,'FLOTA TERCEROS'!$A:$D,4,0)&amp;" — "&amp;VLOOKUP(B830,'FLOTA TERCEROS'!$A:$D,3,0),"⚠ No encontrado")))</f>
        <v/>
      </c>
      <c r="D830" s="38"/>
      <c r="E830" s="39"/>
      <c r="F830" s="28"/>
      <c r="G830" s="40"/>
    </row>
    <row r="831" spans="1:7">
      <c r="A831" s="36"/>
      <c r="B831" s="37"/>
      <c r="C831" s="25" t="str">
        <f>IF(B831="","",IFERROR(VLOOKUP(B831,FLOTA!$A:$D,4,0)&amp;" — "&amp;VLOOKUP(B831,FLOTA!$A:$D,3,0),IFERROR(VLOOKUP(B831,'FLOTA TERCEROS'!$A:$D,4,0)&amp;" — "&amp;VLOOKUP(B831,'FLOTA TERCEROS'!$A:$D,3,0),"⚠ No encontrado")))</f>
        <v/>
      </c>
      <c r="D831" s="38"/>
      <c r="E831" s="39"/>
      <c r="F831" s="28"/>
      <c r="G831" s="40"/>
    </row>
    <row r="832" spans="1:7">
      <c r="A832" s="36"/>
      <c r="B832" s="37"/>
      <c r="C832" s="25" t="str">
        <f>IF(B832="","",IFERROR(VLOOKUP(B832,FLOTA!$A:$D,4,0)&amp;" — "&amp;VLOOKUP(B832,FLOTA!$A:$D,3,0),IFERROR(VLOOKUP(B832,'FLOTA TERCEROS'!$A:$D,4,0)&amp;" — "&amp;VLOOKUP(B832,'FLOTA TERCEROS'!$A:$D,3,0),"⚠ No encontrado")))</f>
        <v/>
      </c>
      <c r="D832" s="38"/>
      <c r="E832" s="39"/>
      <c r="F832" s="28"/>
      <c r="G832" s="40"/>
    </row>
    <row r="833" spans="1:7">
      <c r="A833" s="36"/>
      <c r="B833" s="37"/>
      <c r="C833" s="25" t="str">
        <f>IF(B833="","",IFERROR(VLOOKUP(B833,FLOTA!$A:$D,4,0)&amp;" — "&amp;VLOOKUP(B833,FLOTA!$A:$D,3,0),IFERROR(VLOOKUP(B833,'FLOTA TERCEROS'!$A:$D,4,0)&amp;" — "&amp;VLOOKUP(B833,'FLOTA TERCEROS'!$A:$D,3,0),"⚠ No encontrado")))</f>
        <v/>
      </c>
      <c r="D833" s="38"/>
      <c r="E833" s="39"/>
      <c r="F833" s="28"/>
      <c r="G833" s="40"/>
    </row>
    <row r="834" spans="1:7">
      <c r="A834" s="36"/>
      <c r="B834" s="37"/>
      <c r="C834" s="25" t="str">
        <f>IF(B834="","",IFERROR(VLOOKUP(B834,FLOTA!$A:$D,4,0)&amp;" — "&amp;VLOOKUP(B834,FLOTA!$A:$D,3,0),IFERROR(VLOOKUP(B834,'FLOTA TERCEROS'!$A:$D,4,0)&amp;" — "&amp;VLOOKUP(B834,'FLOTA TERCEROS'!$A:$D,3,0),"⚠ No encontrado")))</f>
        <v/>
      </c>
      <c r="D834" s="38"/>
      <c r="E834" s="39"/>
      <c r="F834" s="28"/>
      <c r="G834" s="40"/>
    </row>
    <row r="835" spans="1:7">
      <c r="A835" s="36"/>
      <c r="B835" s="37"/>
      <c r="C835" s="25" t="str">
        <f>IF(B835="","",IFERROR(VLOOKUP(B835,FLOTA!$A:$D,4,0)&amp;" — "&amp;VLOOKUP(B835,FLOTA!$A:$D,3,0),IFERROR(VLOOKUP(B835,'FLOTA TERCEROS'!$A:$D,4,0)&amp;" — "&amp;VLOOKUP(B835,'FLOTA TERCEROS'!$A:$D,3,0),"⚠ No encontrado")))</f>
        <v/>
      </c>
      <c r="D835" s="38"/>
      <c r="E835" s="39"/>
      <c r="F835" s="28"/>
      <c r="G835" s="40"/>
    </row>
    <row r="836" spans="1:7">
      <c r="A836" s="36"/>
      <c r="B836" s="37"/>
      <c r="C836" s="25" t="str">
        <f>IF(B836="","",IFERROR(VLOOKUP(B836,FLOTA!$A:$D,4,0)&amp;" — "&amp;VLOOKUP(B836,FLOTA!$A:$D,3,0),IFERROR(VLOOKUP(B836,'FLOTA TERCEROS'!$A:$D,4,0)&amp;" — "&amp;VLOOKUP(B836,'FLOTA TERCEROS'!$A:$D,3,0),"⚠ No encontrado")))</f>
        <v/>
      </c>
      <c r="D836" s="38"/>
      <c r="E836" s="39"/>
      <c r="F836" s="28"/>
      <c r="G836" s="40"/>
    </row>
    <row r="837" spans="1:7">
      <c r="A837" s="36"/>
      <c r="B837" s="37"/>
      <c r="C837" s="25" t="str">
        <f>IF(B837="","",IFERROR(VLOOKUP(B837,FLOTA!$A:$D,4,0)&amp;" — "&amp;VLOOKUP(B837,FLOTA!$A:$D,3,0),IFERROR(VLOOKUP(B837,'FLOTA TERCEROS'!$A:$D,4,0)&amp;" — "&amp;VLOOKUP(B837,'FLOTA TERCEROS'!$A:$D,3,0),"⚠ No encontrado")))</f>
        <v/>
      </c>
      <c r="D837" s="38"/>
      <c r="E837" s="39"/>
      <c r="F837" s="28"/>
      <c r="G837" s="40"/>
    </row>
    <row r="838" spans="1:7">
      <c r="A838" s="36"/>
      <c r="B838" s="37"/>
      <c r="C838" s="25" t="str">
        <f>IF(B838="","",IFERROR(VLOOKUP(B838,FLOTA!$A:$D,4,0)&amp;" — "&amp;VLOOKUP(B838,FLOTA!$A:$D,3,0),IFERROR(VLOOKUP(B838,'FLOTA TERCEROS'!$A:$D,4,0)&amp;" — "&amp;VLOOKUP(B838,'FLOTA TERCEROS'!$A:$D,3,0),"⚠ No encontrado")))</f>
        <v/>
      </c>
      <c r="D838" s="38"/>
      <c r="E838" s="39"/>
      <c r="F838" s="28"/>
      <c r="G838" s="40"/>
    </row>
    <row r="839" spans="1:7">
      <c r="A839" s="36"/>
      <c r="B839" s="37"/>
      <c r="C839" s="25" t="str">
        <f>IF(B839="","",IFERROR(VLOOKUP(B839,FLOTA!$A:$D,4,0)&amp;" — "&amp;VLOOKUP(B839,FLOTA!$A:$D,3,0),IFERROR(VLOOKUP(B839,'FLOTA TERCEROS'!$A:$D,4,0)&amp;" — "&amp;VLOOKUP(B839,'FLOTA TERCEROS'!$A:$D,3,0),"⚠ No encontrado")))</f>
        <v/>
      </c>
      <c r="D839" s="38"/>
      <c r="E839" s="39"/>
      <c r="F839" s="28"/>
      <c r="G839" s="40"/>
    </row>
    <row r="840" spans="1:7">
      <c r="A840" s="36"/>
      <c r="B840" s="37"/>
      <c r="C840" s="25" t="str">
        <f>IF(B840="","",IFERROR(VLOOKUP(B840,FLOTA!$A:$D,4,0)&amp;" — "&amp;VLOOKUP(B840,FLOTA!$A:$D,3,0),IFERROR(VLOOKUP(B840,'FLOTA TERCEROS'!$A:$D,4,0)&amp;" — "&amp;VLOOKUP(B840,'FLOTA TERCEROS'!$A:$D,3,0),"⚠ No encontrado")))</f>
        <v/>
      </c>
      <c r="D840" s="38"/>
      <c r="E840" s="39"/>
      <c r="F840" s="28"/>
      <c r="G840" s="40"/>
    </row>
    <row r="841" spans="1:7">
      <c r="A841" s="36"/>
      <c r="B841" s="37"/>
      <c r="C841" s="25" t="str">
        <f>IF(B841="","",IFERROR(VLOOKUP(B841,FLOTA!$A:$D,4,0)&amp;" — "&amp;VLOOKUP(B841,FLOTA!$A:$D,3,0),IFERROR(VLOOKUP(B841,'FLOTA TERCEROS'!$A:$D,4,0)&amp;" — "&amp;VLOOKUP(B841,'FLOTA TERCEROS'!$A:$D,3,0),"⚠ No encontrado")))</f>
        <v/>
      </c>
      <c r="D841" s="38"/>
      <c r="E841" s="39"/>
      <c r="F841" s="28"/>
      <c r="G841" s="40"/>
    </row>
    <row r="842" spans="1:7">
      <c r="A842" s="36"/>
      <c r="B842" s="37"/>
      <c r="C842" s="25" t="str">
        <f>IF(B842="","",IFERROR(VLOOKUP(B842,FLOTA!$A:$D,4,0)&amp;" — "&amp;VLOOKUP(B842,FLOTA!$A:$D,3,0),IFERROR(VLOOKUP(B842,'FLOTA TERCEROS'!$A:$D,4,0)&amp;" — "&amp;VLOOKUP(B842,'FLOTA TERCEROS'!$A:$D,3,0),"⚠ No encontrado")))</f>
        <v/>
      </c>
      <c r="D842" s="38"/>
      <c r="E842" s="39"/>
      <c r="F842" s="28"/>
      <c r="G842" s="40"/>
    </row>
    <row r="843" spans="1:7">
      <c r="A843" s="36"/>
      <c r="B843" s="37"/>
      <c r="C843" s="25" t="str">
        <f>IF(B843="","",IFERROR(VLOOKUP(B843,FLOTA!$A:$D,4,0)&amp;" — "&amp;VLOOKUP(B843,FLOTA!$A:$D,3,0),IFERROR(VLOOKUP(B843,'FLOTA TERCEROS'!$A:$D,4,0)&amp;" — "&amp;VLOOKUP(B843,'FLOTA TERCEROS'!$A:$D,3,0),"⚠ No encontrado")))</f>
        <v/>
      </c>
      <c r="D843" s="38"/>
      <c r="E843" s="39"/>
      <c r="F843" s="28"/>
      <c r="G843" s="40"/>
    </row>
    <row r="844" spans="1:7">
      <c r="A844" s="36"/>
      <c r="B844" s="37"/>
      <c r="C844" s="25" t="str">
        <f>IF(B844="","",IFERROR(VLOOKUP(B844,FLOTA!$A:$D,4,0)&amp;" — "&amp;VLOOKUP(B844,FLOTA!$A:$D,3,0),IFERROR(VLOOKUP(B844,'FLOTA TERCEROS'!$A:$D,4,0)&amp;" — "&amp;VLOOKUP(B844,'FLOTA TERCEROS'!$A:$D,3,0),"⚠ No encontrado")))</f>
        <v/>
      </c>
      <c r="D844" s="38"/>
      <c r="E844" s="39"/>
      <c r="F844" s="28"/>
      <c r="G844" s="40"/>
    </row>
    <row r="845" spans="1:7">
      <c r="A845" s="36"/>
      <c r="B845" s="37"/>
      <c r="C845" s="25" t="str">
        <f>IF(B845="","",IFERROR(VLOOKUP(B845,FLOTA!$A:$D,4,0)&amp;" — "&amp;VLOOKUP(B845,FLOTA!$A:$D,3,0),IFERROR(VLOOKUP(B845,'FLOTA TERCEROS'!$A:$D,4,0)&amp;" — "&amp;VLOOKUP(B845,'FLOTA TERCEROS'!$A:$D,3,0),"⚠ No encontrado")))</f>
        <v/>
      </c>
      <c r="D845" s="38"/>
      <c r="E845" s="39"/>
      <c r="F845" s="28"/>
      <c r="G845" s="40"/>
    </row>
    <row r="846" spans="1:7">
      <c r="A846" s="36"/>
      <c r="B846" s="37"/>
      <c r="C846" s="25" t="str">
        <f>IF(B846="","",IFERROR(VLOOKUP(B846,FLOTA!$A:$D,4,0)&amp;" — "&amp;VLOOKUP(B846,FLOTA!$A:$D,3,0),IFERROR(VLOOKUP(B846,'FLOTA TERCEROS'!$A:$D,4,0)&amp;" — "&amp;VLOOKUP(B846,'FLOTA TERCEROS'!$A:$D,3,0),"⚠ No encontrado")))</f>
        <v/>
      </c>
      <c r="D846" s="38"/>
      <c r="E846" s="39"/>
      <c r="F846" s="28"/>
      <c r="G846" s="40"/>
    </row>
    <row r="847" spans="1:7">
      <c r="A847" s="36"/>
      <c r="B847" s="37"/>
      <c r="C847" s="25" t="str">
        <f>IF(B847="","",IFERROR(VLOOKUP(B847,FLOTA!$A:$D,4,0)&amp;" — "&amp;VLOOKUP(B847,FLOTA!$A:$D,3,0),IFERROR(VLOOKUP(B847,'FLOTA TERCEROS'!$A:$D,4,0)&amp;" — "&amp;VLOOKUP(B847,'FLOTA TERCEROS'!$A:$D,3,0),"⚠ No encontrado")))</f>
        <v/>
      </c>
      <c r="D847" s="38"/>
      <c r="E847" s="39"/>
      <c r="F847" s="28"/>
      <c r="G847" s="40"/>
    </row>
    <row r="848" spans="1:7">
      <c r="A848" s="36"/>
      <c r="B848" s="37"/>
      <c r="C848" s="25" t="str">
        <f>IF(B848="","",IFERROR(VLOOKUP(B848,FLOTA!$A:$D,4,0)&amp;" — "&amp;VLOOKUP(B848,FLOTA!$A:$D,3,0),IFERROR(VLOOKUP(B848,'FLOTA TERCEROS'!$A:$D,4,0)&amp;" — "&amp;VLOOKUP(B848,'FLOTA TERCEROS'!$A:$D,3,0),"⚠ No encontrado")))</f>
        <v/>
      </c>
      <c r="D848" s="38"/>
      <c r="E848" s="39"/>
      <c r="F848" s="28"/>
      <c r="G848" s="40"/>
    </row>
    <row r="849" spans="1:7">
      <c r="A849" s="36"/>
      <c r="B849" s="37"/>
      <c r="C849" s="25" t="str">
        <f>IF(B849="","",IFERROR(VLOOKUP(B849,FLOTA!$A:$D,4,0)&amp;" — "&amp;VLOOKUP(B849,FLOTA!$A:$D,3,0),IFERROR(VLOOKUP(B849,'FLOTA TERCEROS'!$A:$D,4,0)&amp;" — "&amp;VLOOKUP(B849,'FLOTA TERCEROS'!$A:$D,3,0),"⚠ No encontrado")))</f>
        <v/>
      </c>
      <c r="D849" s="38"/>
      <c r="E849" s="39"/>
      <c r="F849" s="28"/>
      <c r="G849" s="40"/>
    </row>
    <row r="850" spans="1:7">
      <c r="A850" s="36"/>
      <c r="B850" s="37"/>
      <c r="C850" s="25" t="str">
        <f>IF(B850="","",IFERROR(VLOOKUP(B850,FLOTA!$A:$D,4,0)&amp;" — "&amp;VLOOKUP(B850,FLOTA!$A:$D,3,0),IFERROR(VLOOKUP(B850,'FLOTA TERCEROS'!$A:$D,4,0)&amp;" — "&amp;VLOOKUP(B850,'FLOTA TERCEROS'!$A:$D,3,0),"⚠ No encontrado")))</f>
        <v/>
      </c>
      <c r="D850" s="38"/>
      <c r="E850" s="39"/>
      <c r="F850" s="28"/>
      <c r="G850" s="40"/>
    </row>
    <row r="851" spans="1:7">
      <c r="A851" s="36"/>
      <c r="B851" s="37"/>
      <c r="C851" s="25" t="str">
        <f>IF(B851="","",IFERROR(VLOOKUP(B851,FLOTA!$A:$D,4,0)&amp;" — "&amp;VLOOKUP(B851,FLOTA!$A:$D,3,0),IFERROR(VLOOKUP(B851,'FLOTA TERCEROS'!$A:$D,4,0)&amp;" — "&amp;VLOOKUP(B851,'FLOTA TERCEROS'!$A:$D,3,0),"⚠ No encontrado")))</f>
        <v/>
      </c>
      <c r="D851" s="38"/>
      <c r="E851" s="39"/>
      <c r="F851" s="28"/>
      <c r="G851" s="40"/>
    </row>
    <row r="852" spans="1:7">
      <c r="A852" s="36"/>
      <c r="B852" s="37"/>
      <c r="C852" s="25" t="str">
        <f>IF(B852="","",IFERROR(VLOOKUP(B852,FLOTA!$A:$D,4,0)&amp;" — "&amp;VLOOKUP(B852,FLOTA!$A:$D,3,0),IFERROR(VLOOKUP(B852,'FLOTA TERCEROS'!$A:$D,4,0)&amp;" — "&amp;VLOOKUP(B852,'FLOTA TERCEROS'!$A:$D,3,0),"⚠ No encontrado")))</f>
        <v/>
      </c>
      <c r="D852" s="38"/>
      <c r="E852" s="39"/>
      <c r="F852" s="28"/>
      <c r="G852" s="40"/>
    </row>
    <row r="853" spans="1:7">
      <c r="A853" s="36"/>
      <c r="B853" s="37"/>
      <c r="C853" s="25" t="str">
        <f>IF(B853="","",IFERROR(VLOOKUP(B853,FLOTA!$A:$D,4,0)&amp;" — "&amp;VLOOKUP(B853,FLOTA!$A:$D,3,0),IFERROR(VLOOKUP(B853,'FLOTA TERCEROS'!$A:$D,4,0)&amp;" — "&amp;VLOOKUP(B853,'FLOTA TERCEROS'!$A:$D,3,0),"⚠ No encontrado")))</f>
        <v/>
      </c>
      <c r="D853" s="38"/>
      <c r="E853" s="39"/>
      <c r="F853" s="28"/>
      <c r="G853" s="40"/>
    </row>
    <row r="854" spans="1:7">
      <c r="A854" s="36"/>
      <c r="B854" s="37"/>
      <c r="C854" s="25" t="str">
        <f>IF(B854="","",IFERROR(VLOOKUP(B854,FLOTA!$A:$D,4,0)&amp;" — "&amp;VLOOKUP(B854,FLOTA!$A:$D,3,0),IFERROR(VLOOKUP(B854,'FLOTA TERCEROS'!$A:$D,4,0)&amp;" — "&amp;VLOOKUP(B854,'FLOTA TERCEROS'!$A:$D,3,0),"⚠ No encontrado")))</f>
        <v/>
      </c>
      <c r="D854" s="38"/>
      <c r="E854" s="39"/>
      <c r="F854" s="28"/>
      <c r="G854" s="40"/>
    </row>
    <row r="855" spans="1:7">
      <c r="A855" s="36"/>
      <c r="B855" s="37"/>
      <c r="C855" s="25" t="str">
        <f>IF(B855="","",IFERROR(VLOOKUP(B855,FLOTA!$A:$D,4,0)&amp;" — "&amp;VLOOKUP(B855,FLOTA!$A:$D,3,0),IFERROR(VLOOKUP(B855,'FLOTA TERCEROS'!$A:$D,4,0)&amp;" — "&amp;VLOOKUP(B855,'FLOTA TERCEROS'!$A:$D,3,0),"⚠ No encontrado")))</f>
        <v/>
      </c>
      <c r="D855" s="38"/>
      <c r="E855" s="39"/>
      <c r="F855" s="28"/>
      <c r="G855" s="40"/>
    </row>
    <row r="856" spans="1:7">
      <c r="A856" s="36"/>
      <c r="B856" s="37"/>
      <c r="C856" s="25" t="str">
        <f>IF(B856="","",IFERROR(VLOOKUP(B856,FLOTA!$A:$D,4,0)&amp;" — "&amp;VLOOKUP(B856,FLOTA!$A:$D,3,0),IFERROR(VLOOKUP(B856,'FLOTA TERCEROS'!$A:$D,4,0)&amp;" — "&amp;VLOOKUP(B856,'FLOTA TERCEROS'!$A:$D,3,0),"⚠ No encontrado")))</f>
        <v/>
      </c>
      <c r="D856" s="38"/>
      <c r="E856" s="39"/>
      <c r="F856" s="28"/>
      <c r="G856" s="40"/>
    </row>
    <row r="857" spans="1:7">
      <c r="A857" s="36"/>
      <c r="B857" s="37"/>
      <c r="C857" s="25" t="str">
        <f>IF(B857="","",IFERROR(VLOOKUP(B857,FLOTA!$A:$D,4,0)&amp;" — "&amp;VLOOKUP(B857,FLOTA!$A:$D,3,0),IFERROR(VLOOKUP(B857,'FLOTA TERCEROS'!$A:$D,4,0)&amp;" — "&amp;VLOOKUP(B857,'FLOTA TERCEROS'!$A:$D,3,0),"⚠ No encontrado")))</f>
        <v/>
      </c>
      <c r="D857" s="38"/>
      <c r="E857" s="39"/>
      <c r="F857" s="28"/>
      <c r="G857" s="40"/>
    </row>
    <row r="858" spans="1:7">
      <c r="A858" s="36"/>
      <c r="B858" s="37"/>
      <c r="C858" s="25" t="str">
        <f>IF(B858="","",IFERROR(VLOOKUP(B858,FLOTA!$A:$D,4,0)&amp;" — "&amp;VLOOKUP(B858,FLOTA!$A:$D,3,0),IFERROR(VLOOKUP(B858,'FLOTA TERCEROS'!$A:$D,4,0)&amp;" — "&amp;VLOOKUP(B858,'FLOTA TERCEROS'!$A:$D,3,0),"⚠ No encontrado")))</f>
        <v/>
      </c>
      <c r="D858" s="38"/>
      <c r="E858" s="39"/>
      <c r="F858" s="28"/>
      <c r="G858" s="40"/>
    </row>
    <row r="859" spans="1:7">
      <c r="A859" s="36"/>
      <c r="B859" s="37"/>
      <c r="C859" s="25" t="str">
        <f>IF(B859="","",IFERROR(VLOOKUP(B859,FLOTA!$A:$D,4,0)&amp;" — "&amp;VLOOKUP(B859,FLOTA!$A:$D,3,0),IFERROR(VLOOKUP(B859,'FLOTA TERCEROS'!$A:$D,4,0)&amp;" — "&amp;VLOOKUP(B859,'FLOTA TERCEROS'!$A:$D,3,0),"⚠ No encontrado")))</f>
        <v/>
      </c>
      <c r="D859" s="38"/>
      <c r="E859" s="39"/>
      <c r="F859" s="28"/>
      <c r="G859" s="40"/>
    </row>
    <row r="860" spans="1:7">
      <c r="A860" s="36"/>
      <c r="B860" s="37"/>
      <c r="C860" s="25" t="str">
        <f>IF(B860="","",IFERROR(VLOOKUP(B860,FLOTA!$A:$D,4,0)&amp;" — "&amp;VLOOKUP(B860,FLOTA!$A:$D,3,0),IFERROR(VLOOKUP(B860,'FLOTA TERCEROS'!$A:$D,4,0)&amp;" — "&amp;VLOOKUP(B860,'FLOTA TERCEROS'!$A:$D,3,0),"⚠ No encontrado")))</f>
        <v/>
      </c>
      <c r="D860" s="38"/>
      <c r="E860" s="39"/>
      <c r="F860" s="28"/>
      <c r="G860" s="40"/>
    </row>
    <row r="861" spans="1:7">
      <c r="A861" s="36"/>
      <c r="B861" s="37"/>
      <c r="C861" s="25" t="str">
        <f>IF(B861="","",IFERROR(VLOOKUP(B861,FLOTA!$A:$D,4,0)&amp;" — "&amp;VLOOKUP(B861,FLOTA!$A:$D,3,0),IFERROR(VLOOKUP(B861,'FLOTA TERCEROS'!$A:$D,4,0)&amp;" — "&amp;VLOOKUP(B861,'FLOTA TERCEROS'!$A:$D,3,0),"⚠ No encontrado")))</f>
        <v/>
      </c>
      <c r="D861" s="38"/>
      <c r="E861" s="39"/>
      <c r="F861" s="28"/>
      <c r="G861" s="40"/>
    </row>
    <row r="862" spans="1:7">
      <c r="A862" s="36"/>
      <c r="B862" s="37"/>
      <c r="C862" s="25" t="str">
        <f>IF(B862="","",IFERROR(VLOOKUP(B862,FLOTA!$A:$D,4,0)&amp;" — "&amp;VLOOKUP(B862,FLOTA!$A:$D,3,0),IFERROR(VLOOKUP(B862,'FLOTA TERCEROS'!$A:$D,4,0)&amp;" — "&amp;VLOOKUP(B862,'FLOTA TERCEROS'!$A:$D,3,0),"⚠ No encontrado")))</f>
        <v/>
      </c>
      <c r="D862" s="38"/>
      <c r="E862" s="39"/>
      <c r="F862" s="28"/>
      <c r="G862" s="40"/>
    </row>
    <row r="863" spans="1:7">
      <c r="A863" s="36"/>
      <c r="B863" s="37"/>
      <c r="C863" s="25" t="str">
        <f>IF(B863="","",IFERROR(VLOOKUP(B863,FLOTA!$A:$D,4,0)&amp;" — "&amp;VLOOKUP(B863,FLOTA!$A:$D,3,0),IFERROR(VLOOKUP(B863,'FLOTA TERCEROS'!$A:$D,4,0)&amp;" — "&amp;VLOOKUP(B863,'FLOTA TERCEROS'!$A:$D,3,0),"⚠ No encontrado")))</f>
        <v/>
      </c>
      <c r="D863" s="38"/>
      <c r="E863" s="39"/>
      <c r="F863" s="28"/>
      <c r="G863" s="40"/>
    </row>
    <row r="864" spans="1:7">
      <c r="A864" s="36"/>
      <c r="B864" s="37"/>
      <c r="C864" s="25" t="str">
        <f>IF(B864="","",IFERROR(VLOOKUP(B864,FLOTA!$A:$D,4,0)&amp;" — "&amp;VLOOKUP(B864,FLOTA!$A:$D,3,0),IFERROR(VLOOKUP(B864,'FLOTA TERCEROS'!$A:$D,4,0)&amp;" — "&amp;VLOOKUP(B864,'FLOTA TERCEROS'!$A:$D,3,0),"⚠ No encontrado")))</f>
        <v/>
      </c>
      <c r="D864" s="38"/>
      <c r="E864" s="39"/>
      <c r="F864" s="28"/>
      <c r="G864" s="40"/>
    </row>
    <row r="865" spans="1:7">
      <c r="A865" s="36"/>
      <c r="B865" s="37"/>
      <c r="C865" s="25" t="str">
        <f>IF(B865="","",IFERROR(VLOOKUP(B865,FLOTA!$A:$D,4,0)&amp;" — "&amp;VLOOKUP(B865,FLOTA!$A:$D,3,0),IFERROR(VLOOKUP(B865,'FLOTA TERCEROS'!$A:$D,4,0)&amp;" — "&amp;VLOOKUP(B865,'FLOTA TERCEROS'!$A:$D,3,0),"⚠ No encontrado")))</f>
        <v/>
      </c>
      <c r="D865" s="38"/>
      <c r="E865" s="39"/>
      <c r="F865" s="28"/>
      <c r="G865" s="40"/>
    </row>
    <row r="866" spans="1:7">
      <c r="A866" s="36"/>
      <c r="B866" s="37"/>
      <c r="C866" s="25" t="str">
        <f>IF(B866="","",IFERROR(VLOOKUP(B866,FLOTA!$A:$D,4,0)&amp;" — "&amp;VLOOKUP(B866,FLOTA!$A:$D,3,0),IFERROR(VLOOKUP(B866,'FLOTA TERCEROS'!$A:$D,4,0)&amp;" — "&amp;VLOOKUP(B866,'FLOTA TERCEROS'!$A:$D,3,0),"⚠ No encontrado")))</f>
        <v/>
      </c>
      <c r="D866" s="38"/>
      <c r="E866" s="39"/>
      <c r="F866" s="28"/>
      <c r="G866" s="40"/>
    </row>
    <row r="867" spans="1:7">
      <c r="A867" s="36"/>
      <c r="B867" s="37"/>
      <c r="C867" s="25" t="str">
        <f>IF(B867="","",IFERROR(VLOOKUP(B867,FLOTA!$A:$D,4,0)&amp;" — "&amp;VLOOKUP(B867,FLOTA!$A:$D,3,0),IFERROR(VLOOKUP(B867,'FLOTA TERCEROS'!$A:$D,4,0)&amp;" — "&amp;VLOOKUP(B867,'FLOTA TERCEROS'!$A:$D,3,0),"⚠ No encontrado")))</f>
        <v/>
      </c>
      <c r="D867" s="38"/>
      <c r="E867" s="39"/>
      <c r="F867" s="28"/>
      <c r="G867" s="40"/>
    </row>
    <row r="868" spans="1:7">
      <c r="A868" s="36"/>
      <c r="B868" s="37"/>
      <c r="C868" s="25" t="str">
        <f>IF(B868="","",IFERROR(VLOOKUP(B868,FLOTA!$A:$D,4,0)&amp;" — "&amp;VLOOKUP(B868,FLOTA!$A:$D,3,0),IFERROR(VLOOKUP(B868,'FLOTA TERCEROS'!$A:$D,4,0)&amp;" — "&amp;VLOOKUP(B868,'FLOTA TERCEROS'!$A:$D,3,0),"⚠ No encontrado")))</f>
        <v/>
      </c>
      <c r="D868" s="38"/>
      <c r="E868" s="39"/>
      <c r="F868" s="28"/>
      <c r="G868" s="40"/>
    </row>
    <row r="869" spans="1:7">
      <c r="A869" s="36"/>
      <c r="B869" s="37"/>
      <c r="C869" s="25" t="str">
        <f>IF(B869="","",IFERROR(VLOOKUP(B869,FLOTA!$A:$D,4,0)&amp;" — "&amp;VLOOKUP(B869,FLOTA!$A:$D,3,0),IFERROR(VLOOKUP(B869,'FLOTA TERCEROS'!$A:$D,4,0)&amp;" — "&amp;VLOOKUP(B869,'FLOTA TERCEROS'!$A:$D,3,0),"⚠ No encontrado")))</f>
        <v/>
      </c>
      <c r="D869" s="38"/>
      <c r="E869" s="39"/>
      <c r="F869" s="28"/>
      <c r="G869" s="40"/>
    </row>
    <row r="870" spans="1:7">
      <c r="A870" s="36"/>
      <c r="B870" s="37"/>
      <c r="C870" s="25" t="str">
        <f>IF(B870="","",IFERROR(VLOOKUP(B870,FLOTA!$A:$D,4,0)&amp;" — "&amp;VLOOKUP(B870,FLOTA!$A:$D,3,0),IFERROR(VLOOKUP(B870,'FLOTA TERCEROS'!$A:$D,4,0)&amp;" — "&amp;VLOOKUP(B870,'FLOTA TERCEROS'!$A:$D,3,0),"⚠ No encontrado")))</f>
        <v/>
      </c>
      <c r="D870" s="38"/>
      <c r="E870" s="39"/>
      <c r="F870" s="28"/>
      <c r="G870" s="40"/>
    </row>
    <row r="871" spans="1:7">
      <c r="A871" s="36"/>
      <c r="B871" s="37"/>
      <c r="C871" s="25" t="str">
        <f>IF(B871="","",IFERROR(VLOOKUP(B871,FLOTA!$A:$D,4,0)&amp;" — "&amp;VLOOKUP(B871,FLOTA!$A:$D,3,0),IFERROR(VLOOKUP(B871,'FLOTA TERCEROS'!$A:$D,4,0)&amp;" — "&amp;VLOOKUP(B871,'FLOTA TERCEROS'!$A:$D,3,0),"⚠ No encontrado")))</f>
        <v/>
      </c>
      <c r="D871" s="38"/>
      <c r="E871" s="39"/>
      <c r="F871" s="28"/>
      <c r="G871" s="40"/>
    </row>
    <row r="872" spans="1:7">
      <c r="A872" s="36"/>
      <c r="B872" s="37"/>
      <c r="C872" s="25" t="str">
        <f>IF(B872="","",IFERROR(VLOOKUP(B872,FLOTA!$A:$D,4,0)&amp;" — "&amp;VLOOKUP(B872,FLOTA!$A:$D,3,0),IFERROR(VLOOKUP(B872,'FLOTA TERCEROS'!$A:$D,4,0)&amp;" — "&amp;VLOOKUP(B872,'FLOTA TERCEROS'!$A:$D,3,0),"⚠ No encontrado")))</f>
        <v/>
      </c>
      <c r="D872" s="38"/>
      <c r="E872" s="39"/>
      <c r="F872" s="28"/>
      <c r="G872" s="40"/>
    </row>
    <row r="873" spans="1:7">
      <c r="A873" s="36"/>
      <c r="B873" s="37"/>
      <c r="C873" s="25" t="str">
        <f>IF(B873="","",IFERROR(VLOOKUP(B873,FLOTA!$A:$D,4,0)&amp;" — "&amp;VLOOKUP(B873,FLOTA!$A:$D,3,0),IFERROR(VLOOKUP(B873,'FLOTA TERCEROS'!$A:$D,4,0)&amp;" — "&amp;VLOOKUP(B873,'FLOTA TERCEROS'!$A:$D,3,0),"⚠ No encontrado")))</f>
        <v/>
      </c>
      <c r="D873" s="38"/>
      <c r="E873" s="39"/>
      <c r="F873" s="28"/>
      <c r="G873" s="40"/>
    </row>
    <row r="874" spans="1:7">
      <c r="A874" s="36"/>
      <c r="B874" s="37"/>
      <c r="C874" s="25" t="str">
        <f>IF(B874="","",IFERROR(VLOOKUP(B874,FLOTA!$A:$D,4,0)&amp;" — "&amp;VLOOKUP(B874,FLOTA!$A:$D,3,0),IFERROR(VLOOKUP(B874,'FLOTA TERCEROS'!$A:$D,4,0)&amp;" — "&amp;VLOOKUP(B874,'FLOTA TERCEROS'!$A:$D,3,0),"⚠ No encontrado")))</f>
        <v/>
      </c>
      <c r="D874" s="38"/>
      <c r="E874" s="39"/>
      <c r="F874" s="28"/>
      <c r="G874" s="40"/>
    </row>
    <row r="875" spans="1:7">
      <c r="A875" s="36"/>
      <c r="B875" s="37"/>
      <c r="C875" s="25" t="str">
        <f>IF(B875="","",IFERROR(VLOOKUP(B875,FLOTA!$A:$D,4,0)&amp;" — "&amp;VLOOKUP(B875,FLOTA!$A:$D,3,0),IFERROR(VLOOKUP(B875,'FLOTA TERCEROS'!$A:$D,4,0)&amp;" — "&amp;VLOOKUP(B875,'FLOTA TERCEROS'!$A:$D,3,0),"⚠ No encontrado")))</f>
        <v/>
      </c>
      <c r="D875" s="38"/>
      <c r="E875" s="39"/>
      <c r="F875" s="28"/>
      <c r="G875" s="40"/>
    </row>
    <row r="876" spans="1:7">
      <c r="A876" s="36"/>
      <c r="B876" s="37"/>
      <c r="C876" s="25" t="str">
        <f>IF(B876="","",IFERROR(VLOOKUP(B876,FLOTA!$A:$D,4,0)&amp;" — "&amp;VLOOKUP(B876,FLOTA!$A:$D,3,0),IFERROR(VLOOKUP(B876,'FLOTA TERCEROS'!$A:$D,4,0)&amp;" — "&amp;VLOOKUP(B876,'FLOTA TERCEROS'!$A:$D,3,0),"⚠ No encontrado")))</f>
        <v/>
      </c>
      <c r="D876" s="38"/>
      <c r="E876" s="39"/>
      <c r="F876" s="28"/>
      <c r="G876" s="40"/>
    </row>
    <row r="877" spans="1:7">
      <c r="A877" s="36"/>
      <c r="B877" s="37"/>
      <c r="C877" s="25" t="str">
        <f>IF(B877="","",IFERROR(VLOOKUP(B877,FLOTA!$A:$D,4,0)&amp;" — "&amp;VLOOKUP(B877,FLOTA!$A:$D,3,0),IFERROR(VLOOKUP(B877,'FLOTA TERCEROS'!$A:$D,4,0)&amp;" — "&amp;VLOOKUP(B877,'FLOTA TERCEROS'!$A:$D,3,0),"⚠ No encontrado")))</f>
        <v/>
      </c>
      <c r="D877" s="38"/>
      <c r="E877" s="39"/>
      <c r="F877" s="28"/>
      <c r="G877" s="40"/>
    </row>
    <row r="878" spans="1:7">
      <c r="A878" s="36"/>
      <c r="B878" s="37"/>
      <c r="C878" s="25" t="str">
        <f>IF(B878="","",IFERROR(VLOOKUP(B878,FLOTA!$A:$D,4,0)&amp;" — "&amp;VLOOKUP(B878,FLOTA!$A:$D,3,0),IFERROR(VLOOKUP(B878,'FLOTA TERCEROS'!$A:$D,4,0)&amp;" — "&amp;VLOOKUP(B878,'FLOTA TERCEROS'!$A:$D,3,0),"⚠ No encontrado")))</f>
        <v/>
      </c>
      <c r="D878" s="38"/>
      <c r="E878" s="39"/>
      <c r="F878" s="28"/>
      <c r="G878" s="40"/>
    </row>
    <row r="879" spans="1:7">
      <c r="A879" s="36"/>
      <c r="B879" s="37"/>
      <c r="C879" s="25" t="str">
        <f>IF(B879="","",IFERROR(VLOOKUP(B879,FLOTA!$A:$D,4,0)&amp;" — "&amp;VLOOKUP(B879,FLOTA!$A:$D,3,0),IFERROR(VLOOKUP(B879,'FLOTA TERCEROS'!$A:$D,4,0)&amp;" — "&amp;VLOOKUP(B879,'FLOTA TERCEROS'!$A:$D,3,0),"⚠ No encontrado")))</f>
        <v/>
      </c>
      <c r="D879" s="38"/>
      <c r="E879" s="39"/>
      <c r="F879" s="28"/>
      <c r="G879" s="40"/>
    </row>
    <row r="880" spans="1:7">
      <c r="A880" s="36"/>
      <c r="B880" s="37"/>
      <c r="C880" s="25" t="str">
        <f>IF(B880="","",IFERROR(VLOOKUP(B880,FLOTA!$A:$D,4,0)&amp;" — "&amp;VLOOKUP(B880,FLOTA!$A:$D,3,0),IFERROR(VLOOKUP(B880,'FLOTA TERCEROS'!$A:$D,4,0)&amp;" — "&amp;VLOOKUP(B880,'FLOTA TERCEROS'!$A:$D,3,0),"⚠ No encontrado")))</f>
        <v/>
      </c>
      <c r="D880" s="38"/>
      <c r="E880" s="39"/>
      <c r="F880" s="28"/>
      <c r="G880" s="40"/>
    </row>
    <row r="881" spans="1:7">
      <c r="A881" s="36"/>
      <c r="B881" s="37"/>
      <c r="C881" s="25" t="str">
        <f>IF(B881="","",IFERROR(VLOOKUP(B881,FLOTA!$A:$D,4,0)&amp;" — "&amp;VLOOKUP(B881,FLOTA!$A:$D,3,0),IFERROR(VLOOKUP(B881,'FLOTA TERCEROS'!$A:$D,4,0)&amp;" — "&amp;VLOOKUP(B881,'FLOTA TERCEROS'!$A:$D,3,0),"⚠ No encontrado")))</f>
        <v/>
      </c>
      <c r="D881" s="38"/>
      <c r="E881" s="39"/>
      <c r="F881" s="28"/>
      <c r="G881" s="40"/>
    </row>
    <row r="882" spans="1:7">
      <c r="A882" s="36"/>
      <c r="B882" s="37"/>
      <c r="C882" s="25" t="str">
        <f>IF(B882="","",IFERROR(VLOOKUP(B882,FLOTA!$A:$D,4,0)&amp;" — "&amp;VLOOKUP(B882,FLOTA!$A:$D,3,0),IFERROR(VLOOKUP(B882,'FLOTA TERCEROS'!$A:$D,4,0)&amp;" — "&amp;VLOOKUP(B882,'FLOTA TERCEROS'!$A:$D,3,0),"⚠ No encontrado")))</f>
        <v/>
      </c>
      <c r="D882" s="38"/>
      <c r="E882" s="39"/>
      <c r="F882" s="28"/>
      <c r="G882" s="40"/>
    </row>
    <row r="883" spans="1:7">
      <c r="A883" s="36"/>
      <c r="B883" s="37"/>
      <c r="C883" s="25" t="str">
        <f>IF(B883="","",IFERROR(VLOOKUP(B883,FLOTA!$A:$D,4,0)&amp;" — "&amp;VLOOKUP(B883,FLOTA!$A:$D,3,0),IFERROR(VLOOKUP(B883,'FLOTA TERCEROS'!$A:$D,4,0)&amp;" — "&amp;VLOOKUP(B883,'FLOTA TERCEROS'!$A:$D,3,0),"⚠ No encontrado")))</f>
        <v/>
      </c>
      <c r="D883" s="38"/>
      <c r="E883" s="39"/>
      <c r="F883" s="28"/>
      <c r="G883" s="40"/>
    </row>
    <row r="884" spans="1:7">
      <c r="A884" s="36"/>
      <c r="B884" s="37"/>
      <c r="C884" s="25" t="str">
        <f>IF(B884="","",IFERROR(VLOOKUP(B884,FLOTA!$A:$D,4,0)&amp;" — "&amp;VLOOKUP(B884,FLOTA!$A:$D,3,0),IFERROR(VLOOKUP(B884,'FLOTA TERCEROS'!$A:$D,4,0)&amp;" — "&amp;VLOOKUP(B884,'FLOTA TERCEROS'!$A:$D,3,0),"⚠ No encontrado")))</f>
        <v/>
      </c>
      <c r="D884" s="38"/>
      <c r="E884" s="39"/>
      <c r="F884" s="28"/>
      <c r="G884" s="40"/>
    </row>
    <row r="885" spans="1:7">
      <c r="A885" s="36"/>
      <c r="B885" s="37"/>
      <c r="C885" s="25" t="str">
        <f>IF(B885="","",IFERROR(VLOOKUP(B885,FLOTA!$A:$D,4,0)&amp;" — "&amp;VLOOKUP(B885,FLOTA!$A:$D,3,0),IFERROR(VLOOKUP(B885,'FLOTA TERCEROS'!$A:$D,4,0)&amp;" — "&amp;VLOOKUP(B885,'FLOTA TERCEROS'!$A:$D,3,0),"⚠ No encontrado")))</f>
        <v/>
      </c>
      <c r="D885" s="38"/>
      <c r="E885" s="39"/>
      <c r="F885" s="28"/>
      <c r="G885" s="40"/>
    </row>
    <row r="886" spans="1:7">
      <c r="A886" s="36"/>
      <c r="B886" s="37"/>
      <c r="C886" s="25" t="str">
        <f>IF(B886="","",IFERROR(VLOOKUP(B886,FLOTA!$A:$D,4,0)&amp;" — "&amp;VLOOKUP(B886,FLOTA!$A:$D,3,0),IFERROR(VLOOKUP(B886,'FLOTA TERCEROS'!$A:$D,4,0)&amp;" — "&amp;VLOOKUP(B886,'FLOTA TERCEROS'!$A:$D,3,0),"⚠ No encontrado")))</f>
        <v/>
      </c>
      <c r="D886" s="38"/>
      <c r="E886" s="39"/>
      <c r="F886" s="28"/>
      <c r="G886" s="40"/>
    </row>
    <row r="887" spans="1:7">
      <c r="A887" s="36"/>
      <c r="B887" s="37"/>
      <c r="C887" s="25" t="str">
        <f>IF(B887="","",IFERROR(VLOOKUP(B887,FLOTA!$A:$D,4,0)&amp;" — "&amp;VLOOKUP(B887,FLOTA!$A:$D,3,0),IFERROR(VLOOKUP(B887,'FLOTA TERCEROS'!$A:$D,4,0)&amp;" — "&amp;VLOOKUP(B887,'FLOTA TERCEROS'!$A:$D,3,0),"⚠ No encontrado")))</f>
        <v/>
      </c>
      <c r="D887" s="38"/>
      <c r="E887" s="39"/>
      <c r="F887" s="28"/>
      <c r="G887" s="40"/>
    </row>
    <row r="888" spans="1:7">
      <c r="A888" s="36"/>
      <c r="B888" s="37"/>
      <c r="C888" s="25" t="str">
        <f>IF(B888="","",IFERROR(VLOOKUP(B888,FLOTA!$A:$D,4,0)&amp;" — "&amp;VLOOKUP(B888,FLOTA!$A:$D,3,0),IFERROR(VLOOKUP(B888,'FLOTA TERCEROS'!$A:$D,4,0)&amp;" — "&amp;VLOOKUP(B888,'FLOTA TERCEROS'!$A:$D,3,0),"⚠ No encontrado")))</f>
        <v/>
      </c>
      <c r="D888" s="38"/>
      <c r="E888" s="39"/>
      <c r="F888" s="28"/>
      <c r="G888" s="40"/>
    </row>
    <row r="889" spans="1:7">
      <c r="A889" s="36"/>
      <c r="B889" s="37"/>
      <c r="C889" s="25" t="str">
        <f>IF(B889="","",IFERROR(VLOOKUP(B889,FLOTA!$A:$D,4,0)&amp;" — "&amp;VLOOKUP(B889,FLOTA!$A:$D,3,0),IFERROR(VLOOKUP(B889,'FLOTA TERCEROS'!$A:$D,4,0)&amp;" — "&amp;VLOOKUP(B889,'FLOTA TERCEROS'!$A:$D,3,0),"⚠ No encontrado")))</f>
        <v/>
      </c>
      <c r="D889" s="38"/>
      <c r="E889" s="39"/>
      <c r="F889" s="28"/>
      <c r="G889" s="40"/>
    </row>
    <row r="890" spans="1:7">
      <c r="A890" s="36"/>
      <c r="B890" s="37"/>
      <c r="C890" s="25" t="str">
        <f>IF(B890="","",IFERROR(VLOOKUP(B890,FLOTA!$A:$D,4,0)&amp;" — "&amp;VLOOKUP(B890,FLOTA!$A:$D,3,0),IFERROR(VLOOKUP(B890,'FLOTA TERCEROS'!$A:$D,4,0)&amp;" — "&amp;VLOOKUP(B890,'FLOTA TERCEROS'!$A:$D,3,0),"⚠ No encontrado")))</f>
        <v/>
      </c>
      <c r="D890" s="38"/>
      <c r="E890" s="39"/>
      <c r="F890" s="28"/>
      <c r="G890" s="40"/>
    </row>
    <row r="891" spans="1:7">
      <c r="A891" s="36"/>
      <c r="B891" s="37"/>
      <c r="C891" s="25" t="str">
        <f>IF(B891="","",IFERROR(VLOOKUP(B891,FLOTA!$A:$D,4,0)&amp;" — "&amp;VLOOKUP(B891,FLOTA!$A:$D,3,0),IFERROR(VLOOKUP(B891,'FLOTA TERCEROS'!$A:$D,4,0)&amp;" — "&amp;VLOOKUP(B891,'FLOTA TERCEROS'!$A:$D,3,0),"⚠ No encontrado")))</f>
        <v/>
      </c>
      <c r="D891" s="38"/>
      <c r="E891" s="39"/>
      <c r="F891" s="28"/>
      <c r="G891" s="40"/>
    </row>
    <row r="892" spans="1:7">
      <c r="A892" s="36"/>
      <c r="B892" s="37"/>
      <c r="C892" s="25" t="str">
        <f>IF(B892="","",IFERROR(VLOOKUP(B892,FLOTA!$A:$D,4,0)&amp;" — "&amp;VLOOKUP(B892,FLOTA!$A:$D,3,0),IFERROR(VLOOKUP(B892,'FLOTA TERCEROS'!$A:$D,4,0)&amp;" — "&amp;VLOOKUP(B892,'FLOTA TERCEROS'!$A:$D,3,0),"⚠ No encontrado")))</f>
        <v/>
      </c>
      <c r="D892" s="38"/>
      <c r="E892" s="39"/>
      <c r="F892" s="28"/>
      <c r="G892" s="40"/>
    </row>
    <row r="893" spans="1:7">
      <c r="A893" s="36"/>
      <c r="B893" s="37"/>
      <c r="C893" s="25" t="str">
        <f>IF(B893="","",IFERROR(VLOOKUP(B893,FLOTA!$A:$D,4,0)&amp;" — "&amp;VLOOKUP(B893,FLOTA!$A:$D,3,0),IFERROR(VLOOKUP(B893,'FLOTA TERCEROS'!$A:$D,4,0)&amp;" — "&amp;VLOOKUP(B893,'FLOTA TERCEROS'!$A:$D,3,0),"⚠ No encontrado")))</f>
        <v/>
      </c>
      <c r="D893" s="38"/>
      <c r="E893" s="39"/>
      <c r="F893" s="28"/>
      <c r="G893" s="40"/>
    </row>
    <row r="894" spans="1:7">
      <c r="A894" s="36"/>
      <c r="B894" s="37"/>
      <c r="C894" s="25" t="str">
        <f>IF(B894="","",IFERROR(VLOOKUP(B894,FLOTA!$A:$D,4,0)&amp;" — "&amp;VLOOKUP(B894,FLOTA!$A:$D,3,0),IFERROR(VLOOKUP(B894,'FLOTA TERCEROS'!$A:$D,4,0)&amp;" — "&amp;VLOOKUP(B894,'FLOTA TERCEROS'!$A:$D,3,0),"⚠ No encontrado")))</f>
        <v/>
      </c>
      <c r="D894" s="38"/>
      <c r="E894" s="39"/>
      <c r="F894" s="28"/>
      <c r="G894" s="40"/>
    </row>
    <row r="895" spans="1:7">
      <c r="A895" s="36"/>
      <c r="B895" s="37"/>
      <c r="C895" s="25" t="str">
        <f>IF(B895="","",IFERROR(VLOOKUP(B895,FLOTA!$A:$D,4,0)&amp;" — "&amp;VLOOKUP(B895,FLOTA!$A:$D,3,0),IFERROR(VLOOKUP(B895,'FLOTA TERCEROS'!$A:$D,4,0)&amp;" — "&amp;VLOOKUP(B895,'FLOTA TERCEROS'!$A:$D,3,0),"⚠ No encontrado")))</f>
        <v/>
      </c>
      <c r="D895" s="38"/>
      <c r="E895" s="39"/>
      <c r="F895" s="28"/>
      <c r="G895" s="40"/>
    </row>
    <row r="896" spans="1:7">
      <c r="A896" s="36"/>
      <c r="B896" s="37"/>
      <c r="C896" s="25" t="str">
        <f>IF(B896="","",IFERROR(VLOOKUP(B896,FLOTA!$A:$D,4,0)&amp;" — "&amp;VLOOKUP(B896,FLOTA!$A:$D,3,0),IFERROR(VLOOKUP(B896,'FLOTA TERCEROS'!$A:$D,4,0)&amp;" — "&amp;VLOOKUP(B896,'FLOTA TERCEROS'!$A:$D,3,0),"⚠ No encontrado")))</f>
        <v/>
      </c>
      <c r="D896" s="38"/>
      <c r="E896" s="39"/>
      <c r="F896" s="28"/>
      <c r="G896" s="40"/>
    </row>
    <row r="897" spans="1:7">
      <c r="A897" s="36"/>
      <c r="B897" s="37"/>
      <c r="C897" s="25" t="str">
        <f>IF(B897="","",IFERROR(VLOOKUP(B897,FLOTA!$A:$D,4,0)&amp;" — "&amp;VLOOKUP(B897,FLOTA!$A:$D,3,0),IFERROR(VLOOKUP(B897,'FLOTA TERCEROS'!$A:$D,4,0)&amp;" — "&amp;VLOOKUP(B897,'FLOTA TERCEROS'!$A:$D,3,0),"⚠ No encontrado")))</f>
        <v/>
      </c>
      <c r="D897" s="38"/>
      <c r="E897" s="39"/>
      <c r="F897" s="28"/>
      <c r="G897" s="40"/>
    </row>
    <row r="898" spans="1:7">
      <c r="A898" s="36"/>
      <c r="B898" s="37"/>
      <c r="C898" s="25" t="str">
        <f>IF(B898="","",IFERROR(VLOOKUP(B898,FLOTA!$A:$D,4,0)&amp;" — "&amp;VLOOKUP(B898,FLOTA!$A:$D,3,0),IFERROR(VLOOKUP(B898,'FLOTA TERCEROS'!$A:$D,4,0)&amp;" — "&amp;VLOOKUP(B898,'FLOTA TERCEROS'!$A:$D,3,0),"⚠ No encontrado")))</f>
        <v/>
      </c>
      <c r="D898" s="38"/>
      <c r="E898" s="39"/>
      <c r="F898" s="28"/>
      <c r="G898" s="40"/>
    </row>
    <row r="899" spans="1:7">
      <c r="A899" s="36"/>
      <c r="B899" s="37"/>
      <c r="C899" s="25" t="str">
        <f>IF(B899="","",IFERROR(VLOOKUP(B899,FLOTA!$A:$D,4,0)&amp;" — "&amp;VLOOKUP(B899,FLOTA!$A:$D,3,0),IFERROR(VLOOKUP(B899,'FLOTA TERCEROS'!$A:$D,4,0)&amp;" — "&amp;VLOOKUP(B899,'FLOTA TERCEROS'!$A:$D,3,0),"⚠ No encontrado")))</f>
        <v/>
      </c>
      <c r="D899" s="38"/>
      <c r="E899" s="39"/>
      <c r="F899" s="28"/>
      <c r="G899" s="40"/>
    </row>
    <row r="900" spans="1:7">
      <c r="A900" s="36"/>
      <c r="B900" s="37"/>
      <c r="C900" s="25" t="str">
        <f>IF(B900="","",IFERROR(VLOOKUP(B900,FLOTA!$A:$D,4,0)&amp;" — "&amp;VLOOKUP(B900,FLOTA!$A:$D,3,0),IFERROR(VLOOKUP(B900,'FLOTA TERCEROS'!$A:$D,4,0)&amp;" — "&amp;VLOOKUP(B900,'FLOTA TERCEROS'!$A:$D,3,0),"⚠ No encontrado")))</f>
        <v/>
      </c>
      <c r="D900" s="38"/>
      <c r="E900" s="39"/>
      <c r="F900" s="28"/>
      <c r="G900" s="40"/>
    </row>
    <row r="901" spans="1:7">
      <c r="A901" s="36"/>
      <c r="B901" s="37"/>
      <c r="C901" s="25" t="str">
        <f>IF(B901="","",IFERROR(VLOOKUP(B901,FLOTA!$A:$D,4,0)&amp;" — "&amp;VLOOKUP(B901,FLOTA!$A:$D,3,0),IFERROR(VLOOKUP(B901,'FLOTA TERCEROS'!$A:$D,4,0)&amp;" — "&amp;VLOOKUP(B901,'FLOTA TERCEROS'!$A:$D,3,0),"⚠ No encontrado")))</f>
        <v/>
      </c>
      <c r="D901" s="38"/>
      <c r="E901" s="39"/>
      <c r="F901" s="28"/>
      <c r="G901" s="40"/>
    </row>
    <row r="902" spans="1:7">
      <c r="A902" s="36"/>
      <c r="B902" s="37"/>
      <c r="C902" s="25" t="str">
        <f>IF(B902="","",IFERROR(VLOOKUP(B902,FLOTA!$A:$D,4,0)&amp;" — "&amp;VLOOKUP(B902,FLOTA!$A:$D,3,0),IFERROR(VLOOKUP(B902,'FLOTA TERCEROS'!$A:$D,4,0)&amp;" — "&amp;VLOOKUP(B902,'FLOTA TERCEROS'!$A:$D,3,0),"⚠ No encontrado")))</f>
        <v/>
      </c>
      <c r="D902" s="38"/>
      <c r="E902" s="39"/>
      <c r="F902" s="28"/>
      <c r="G902" s="40"/>
    </row>
    <row r="903" spans="1:7">
      <c r="A903" s="36"/>
      <c r="B903" s="37"/>
      <c r="C903" s="25" t="str">
        <f>IF(B903="","",IFERROR(VLOOKUP(B903,FLOTA!$A:$D,4,0)&amp;" — "&amp;VLOOKUP(B903,FLOTA!$A:$D,3,0),IFERROR(VLOOKUP(B903,'FLOTA TERCEROS'!$A:$D,4,0)&amp;" — "&amp;VLOOKUP(B903,'FLOTA TERCEROS'!$A:$D,3,0),"⚠ No encontrado")))</f>
        <v/>
      </c>
      <c r="D903" s="38"/>
      <c r="E903" s="39"/>
      <c r="F903" s="28"/>
      <c r="G903" s="40"/>
    </row>
    <row r="904" spans="1:7">
      <c r="A904" s="36"/>
      <c r="B904" s="37"/>
      <c r="C904" s="25" t="str">
        <f>IF(B904="","",IFERROR(VLOOKUP(B904,FLOTA!$A:$D,4,0)&amp;" — "&amp;VLOOKUP(B904,FLOTA!$A:$D,3,0),IFERROR(VLOOKUP(B904,'FLOTA TERCEROS'!$A:$D,4,0)&amp;" — "&amp;VLOOKUP(B904,'FLOTA TERCEROS'!$A:$D,3,0),"⚠ No encontrado")))</f>
        <v/>
      </c>
      <c r="D904" s="38"/>
      <c r="E904" s="39"/>
      <c r="F904" s="28"/>
      <c r="G904" s="40"/>
    </row>
    <row r="905" spans="1:7">
      <c r="A905" s="36"/>
      <c r="B905" s="37"/>
      <c r="C905" s="25" t="str">
        <f>IF(B905="","",IFERROR(VLOOKUP(B905,FLOTA!$A:$D,4,0)&amp;" — "&amp;VLOOKUP(B905,FLOTA!$A:$D,3,0),IFERROR(VLOOKUP(B905,'FLOTA TERCEROS'!$A:$D,4,0)&amp;" — "&amp;VLOOKUP(B905,'FLOTA TERCEROS'!$A:$D,3,0),"⚠ No encontrado")))</f>
        <v/>
      </c>
      <c r="D905" s="38"/>
      <c r="E905" s="39"/>
      <c r="F905" s="28"/>
      <c r="G905" s="40"/>
    </row>
    <row r="906" spans="1:7">
      <c r="A906" s="36"/>
      <c r="B906" s="37"/>
      <c r="C906" s="25" t="str">
        <f>IF(B906="","",IFERROR(VLOOKUP(B906,FLOTA!$A:$D,4,0)&amp;" — "&amp;VLOOKUP(B906,FLOTA!$A:$D,3,0),IFERROR(VLOOKUP(B906,'FLOTA TERCEROS'!$A:$D,4,0)&amp;" — "&amp;VLOOKUP(B906,'FLOTA TERCEROS'!$A:$D,3,0),"⚠ No encontrado")))</f>
        <v/>
      </c>
      <c r="D906" s="38"/>
      <c r="E906" s="39"/>
      <c r="F906" s="28"/>
      <c r="G906" s="40"/>
    </row>
    <row r="907" spans="1:7">
      <c r="A907" s="36"/>
      <c r="B907" s="37"/>
      <c r="C907" s="25" t="str">
        <f>IF(B907="","",IFERROR(VLOOKUP(B907,FLOTA!$A:$D,4,0)&amp;" — "&amp;VLOOKUP(B907,FLOTA!$A:$D,3,0),IFERROR(VLOOKUP(B907,'FLOTA TERCEROS'!$A:$D,4,0)&amp;" — "&amp;VLOOKUP(B907,'FLOTA TERCEROS'!$A:$D,3,0),"⚠ No encontrado")))</f>
        <v/>
      </c>
      <c r="D907" s="38"/>
      <c r="E907" s="39"/>
      <c r="F907" s="28"/>
      <c r="G907" s="40"/>
    </row>
    <row r="908" spans="1:7">
      <c r="A908" s="36"/>
      <c r="B908" s="37"/>
      <c r="C908" s="25" t="str">
        <f>IF(B908="","",IFERROR(VLOOKUP(B908,FLOTA!$A:$D,4,0)&amp;" — "&amp;VLOOKUP(B908,FLOTA!$A:$D,3,0),IFERROR(VLOOKUP(B908,'FLOTA TERCEROS'!$A:$D,4,0)&amp;" — "&amp;VLOOKUP(B908,'FLOTA TERCEROS'!$A:$D,3,0),"⚠ No encontrado")))</f>
        <v/>
      </c>
      <c r="D908" s="38"/>
      <c r="E908" s="39"/>
      <c r="F908" s="28"/>
      <c r="G908" s="40"/>
    </row>
    <row r="909" spans="1:7">
      <c r="A909" s="36"/>
      <c r="B909" s="37"/>
      <c r="C909" s="25" t="str">
        <f>IF(B909="","",IFERROR(VLOOKUP(B909,FLOTA!$A:$D,4,0)&amp;" — "&amp;VLOOKUP(B909,FLOTA!$A:$D,3,0),IFERROR(VLOOKUP(B909,'FLOTA TERCEROS'!$A:$D,4,0)&amp;" — "&amp;VLOOKUP(B909,'FLOTA TERCEROS'!$A:$D,3,0),"⚠ No encontrado")))</f>
        <v/>
      </c>
      <c r="D909" s="38"/>
      <c r="E909" s="39"/>
      <c r="F909" s="28"/>
      <c r="G909" s="40"/>
    </row>
    <row r="910" spans="1:7">
      <c r="A910" s="36"/>
      <c r="B910" s="37"/>
      <c r="C910" s="25" t="str">
        <f>IF(B910="","",IFERROR(VLOOKUP(B910,FLOTA!$A:$D,4,0)&amp;" — "&amp;VLOOKUP(B910,FLOTA!$A:$D,3,0),IFERROR(VLOOKUP(B910,'FLOTA TERCEROS'!$A:$D,4,0)&amp;" — "&amp;VLOOKUP(B910,'FLOTA TERCEROS'!$A:$D,3,0),"⚠ No encontrado")))</f>
        <v/>
      </c>
      <c r="D910" s="38"/>
      <c r="E910" s="39"/>
      <c r="F910" s="28"/>
      <c r="G910" s="40"/>
    </row>
    <row r="911" spans="1:7">
      <c r="A911" s="36"/>
      <c r="B911" s="37"/>
      <c r="C911" s="25" t="str">
        <f>IF(B911="","",IFERROR(VLOOKUP(B911,FLOTA!$A:$D,4,0)&amp;" — "&amp;VLOOKUP(B911,FLOTA!$A:$D,3,0),IFERROR(VLOOKUP(B911,'FLOTA TERCEROS'!$A:$D,4,0)&amp;" — "&amp;VLOOKUP(B911,'FLOTA TERCEROS'!$A:$D,3,0),"⚠ No encontrado")))</f>
        <v/>
      </c>
      <c r="D911" s="38"/>
      <c r="E911" s="39"/>
      <c r="F911" s="28"/>
      <c r="G911" s="40"/>
    </row>
    <row r="912" spans="1:7">
      <c r="A912" s="36"/>
      <c r="B912" s="37"/>
      <c r="C912" s="25" t="str">
        <f>IF(B912="","",IFERROR(VLOOKUP(B912,FLOTA!$A:$D,4,0)&amp;" — "&amp;VLOOKUP(B912,FLOTA!$A:$D,3,0),IFERROR(VLOOKUP(B912,'FLOTA TERCEROS'!$A:$D,4,0)&amp;" — "&amp;VLOOKUP(B912,'FLOTA TERCEROS'!$A:$D,3,0),"⚠ No encontrado")))</f>
        <v/>
      </c>
      <c r="D912" s="38"/>
      <c r="E912" s="39"/>
      <c r="F912" s="28"/>
      <c r="G912" s="40"/>
    </row>
    <row r="913" spans="1:7">
      <c r="A913" s="36"/>
      <c r="B913" s="37"/>
      <c r="C913" s="25" t="str">
        <f>IF(B913="","",IFERROR(VLOOKUP(B913,FLOTA!$A:$D,4,0)&amp;" — "&amp;VLOOKUP(B913,FLOTA!$A:$D,3,0),IFERROR(VLOOKUP(B913,'FLOTA TERCEROS'!$A:$D,4,0)&amp;" — "&amp;VLOOKUP(B913,'FLOTA TERCEROS'!$A:$D,3,0),"⚠ No encontrado")))</f>
        <v/>
      </c>
      <c r="D913" s="38"/>
      <c r="E913" s="39"/>
      <c r="F913" s="28"/>
      <c r="G913" s="40"/>
    </row>
    <row r="914" spans="1:7">
      <c r="A914" s="36"/>
      <c r="B914" s="37"/>
      <c r="C914" s="25" t="str">
        <f>IF(B914="","",IFERROR(VLOOKUP(B914,FLOTA!$A:$D,4,0)&amp;" — "&amp;VLOOKUP(B914,FLOTA!$A:$D,3,0),IFERROR(VLOOKUP(B914,'FLOTA TERCEROS'!$A:$D,4,0)&amp;" — "&amp;VLOOKUP(B914,'FLOTA TERCEROS'!$A:$D,3,0),"⚠ No encontrado")))</f>
        <v/>
      </c>
      <c r="D914" s="38"/>
      <c r="E914" s="39"/>
      <c r="F914" s="28"/>
      <c r="G914" s="40"/>
    </row>
    <row r="915" spans="1:7">
      <c r="A915" s="36"/>
      <c r="B915" s="37"/>
      <c r="C915" s="25" t="str">
        <f>IF(B915="","",IFERROR(VLOOKUP(B915,FLOTA!$A:$D,4,0)&amp;" — "&amp;VLOOKUP(B915,FLOTA!$A:$D,3,0),IFERROR(VLOOKUP(B915,'FLOTA TERCEROS'!$A:$D,4,0)&amp;" — "&amp;VLOOKUP(B915,'FLOTA TERCEROS'!$A:$D,3,0),"⚠ No encontrado")))</f>
        <v/>
      </c>
      <c r="D915" s="38"/>
      <c r="E915" s="39"/>
      <c r="F915" s="28"/>
      <c r="G915" s="40"/>
    </row>
    <row r="916" spans="1:7">
      <c r="A916" s="36"/>
      <c r="B916" s="37"/>
      <c r="C916" s="25" t="str">
        <f>IF(B916="","",IFERROR(VLOOKUP(B916,FLOTA!$A:$D,4,0)&amp;" — "&amp;VLOOKUP(B916,FLOTA!$A:$D,3,0),IFERROR(VLOOKUP(B916,'FLOTA TERCEROS'!$A:$D,4,0)&amp;" — "&amp;VLOOKUP(B916,'FLOTA TERCEROS'!$A:$D,3,0),"⚠ No encontrado")))</f>
        <v/>
      </c>
      <c r="D916" s="38"/>
      <c r="E916" s="39"/>
      <c r="F916" s="28"/>
      <c r="G916" s="40"/>
    </row>
    <row r="917" spans="1:7">
      <c r="A917" s="36"/>
      <c r="B917" s="37"/>
      <c r="C917" s="25" t="str">
        <f>IF(B917="","",IFERROR(VLOOKUP(B917,FLOTA!$A:$D,4,0)&amp;" — "&amp;VLOOKUP(B917,FLOTA!$A:$D,3,0),IFERROR(VLOOKUP(B917,'FLOTA TERCEROS'!$A:$D,4,0)&amp;" — "&amp;VLOOKUP(B917,'FLOTA TERCEROS'!$A:$D,3,0),"⚠ No encontrado")))</f>
        <v/>
      </c>
      <c r="D917" s="38"/>
      <c r="E917" s="39"/>
      <c r="F917" s="28"/>
      <c r="G917" s="40"/>
    </row>
    <row r="918" spans="1:7">
      <c r="A918" s="36"/>
      <c r="B918" s="37"/>
      <c r="C918" s="25" t="str">
        <f>IF(B918="","",IFERROR(VLOOKUP(B918,FLOTA!$A:$D,4,0)&amp;" — "&amp;VLOOKUP(B918,FLOTA!$A:$D,3,0),IFERROR(VLOOKUP(B918,'FLOTA TERCEROS'!$A:$D,4,0)&amp;" — "&amp;VLOOKUP(B918,'FLOTA TERCEROS'!$A:$D,3,0),"⚠ No encontrado")))</f>
        <v/>
      </c>
      <c r="D918" s="38"/>
      <c r="E918" s="39"/>
      <c r="F918" s="28"/>
      <c r="G918" s="40"/>
    </row>
    <row r="919" spans="1:7">
      <c r="A919" s="36"/>
      <c r="B919" s="37"/>
      <c r="C919" s="25" t="str">
        <f>IF(B919="","",IFERROR(VLOOKUP(B919,FLOTA!$A:$D,4,0)&amp;" — "&amp;VLOOKUP(B919,FLOTA!$A:$D,3,0),IFERROR(VLOOKUP(B919,'FLOTA TERCEROS'!$A:$D,4,0)&amp;" — "&amp;VLOOKUP(B919,'FLOTA TERCEROS'!$A:$D,3,0),"⚠ No encontrado")))</f>
        <v/>
      </c>
      <c r="D919" s="38"/>
      <c r="E919" s="39"/>
      <c r="F919" s="28"/>
      <c r="G919" s="40"/>
    </row>
    <row r="920" spans="1:7">
      <c r="A920" s="36"/>
      <c r="B920" s="37"/>
      <c r="C920" s="25" t="str">
        <f>IF(B920="","",IFERROR(VLOOKUP(B920,FLOTA!$A:$D,4,0)&amp;" — "&amp;VLOOKUP(B920,FLOTA!$A:$D,3,0),IFERROR(VLOOKUP(B920,'FLOTA TERCEROS'!$A:$D,4,0)&amp;" — "&amp;VLOOKUP(B920,'FLOTA TERCEROS'!$A:$D,3,0),"⚠ No encontrado")))</f>
        <v/>
      </c>
      <c r="D920" s="38"/>
      <c r="E920" s="39"/>
      <c r="F920" s="28"/>
      <c r="G920" s="40"/>
    </row>
    <row r="921" spans="1:7">
      <c r="A921" s="36"/>
      <c r="B921" s="37"/>
      <c r="C921" s="25" t="str">
        <f>IF(B921="","",IFERROR(VLOOKUP(B921,FLOTA!$A:$D,4,0)&amp;" — "&amp;VLOOKUP(B921,FLOTA!$A:$D,3,0),IFERROR(VLOOKUP(B921,'FLOTA TERCEROS'!$A:$D,4,0)&amp;" — "&amp;VLOOKUP(B921,'FLOTA TERCEROS'!$A:$D,3,0),"⚠ No encontrado")))</f>
        <v/>
      </c>
      <c r="D921" s="38"/>
      <c r="E921" s="39"/>
      <c r="F921" s="28"/>
      <c r="G921" s="40"/>
    </row>
    <row r="922" spans="1:7">
      <c r="A922" s="36"/>
      <c r="B922" s="37"/>
      <c r="C922" s="25" t="str">
        <f>IF(B922="","",IFERROR(VLOOKUP(B922,FLOTA!$A:$D,4,0)&amp;" — "&amp;VLOOKUP(B922,FLOTA!$A:$D,3,0),IFERROR(VLOOKUP(B922,'FLOTA TERCEROS'!$A:$D,4,0)&amp;" — "&amp;VLOOKUP(B922,'FLOTA TERCEROS'!$A:$D,3,0),"⚠ No encontrado")))</f>
        <v/>
      </c>
      <c r="D922" s="38"/>
      <c r="E922" s="39"/>
      <c r="F922" s="28"/>
      <c r="G922" s="40"/>
    </row>
    <row r="923" spans="1:7">
      <c r="A923" s="36"/>
      <c r="B923" s="37"/>
      <c r="C923" s="25" t="str">
        <f>IF(B923="","",IFERROR(VLOOKUP(B923,FLOTA!$A:$D,4,0)&amp;" — "&amp;VLOOKUP(B923,FLOTA!$A:$D,3,0),IFERROR(VLOOKUP(B923,'FLOTA TERCEROS'!$A:$D,4,0)&amp;" — "&amp;VLOOKUP(B923,'FLOTA TERCEROS'!$A:$D,3,0),"⚠ No encontrado")))</f>
        <v/>
      </c>
      <c r="D923" s="38"/>
      <c r="E923" s="39"/>
      <c r="F923" s="28"/>
      <c r="G923" s="40"/>
    </row>
    <row r="924" spans="1:7">
      <c r="A924" s="36"/>
      <c r="B924" s="37"/>
      <c r="C924" s="25" t="str">
        <f>IF(B924="","",IFERROR(VLOOKUP(B924,FLOTA!$A:$D,4,0)&amp;" — "&amp;VLOOKUP(B924,FLOTA!$A:$D,3,0),IFERROR(VLOOKUP(B924,'FLOTA TERCEROS'!$A:$D,4,0)&amp;" — "&amp;VLOOKUP(B924,'FLOTA TERCEROS'!$A:$D,3,0),"⚠ No encontrado")))</f>
        <v/>
      </c>
      <c r="D924" s="38"/>
      <c r="E924" s="39"/>
      <c r="F924" s="28"/>
      <c r="G924" s="40"/>
    </row>
    <row r="925" spans="1:7">
      <c r="A925" s="36"/>
      <c r="B925" s="37"/>
      <c r="C925" s="25" t="str">
        <f>IF(B925="","",IFERROR(VLOOKUP(B925,FLOTA!$A:$D,4,0)&amp;" — "&amp;VLOOKUP(B925,FLOTA!$A:$D,3,0),IFERROR(VLOOKUP(B925,'FLOTA TERCEROS'!$A:$D,4,0)&amp;" — "&amp;VLOOKUP(B925,'FLOTA TERCEROS'!$A:$D,3,0),"⚠ No encontrado")))</f>
        <v/>
      </c>
      <c r="D925" s="38"/>
      <c r="E925" s="39"/>
      <c r="F925" s="28"/>
      <c r="G925" s="40"/>
    </row>
    <row r="926" spans="1:7">
      <c r="A926" s="36"/>
      <c r="B926" s="37"/>
      <c r="C926" s="25" t="str">
        <f>IF(B926="","",IFERROR(VLOOKUP(B926,FLOTA!$A:$D,4,0)&amp;" — "&amp;VLOOKUP(B926,FLOTA!$A:$D,3,0),IFERROR(VLOOKUP(B926,'FLOTA TERCEROS'!$A:$D,4,0)&amp;" — "&amp;VLOOKUP(B926,'FLOTA TERCEROS'!$A:$D,3,0),"⚠ No encontrado")))</f>
        <v/>
      </c>
      <c r="D926" s="38"/>
      <c r="E926" s="39"/>
      <c r="F926" s="28"/>
      <c r="G926" s="40"/>
    </row>
    <row r="927" spans="1:7">
      <c r="A927" s="36"/>
      <c r="B927" s="37"/>
      <c r="C927" s="25" t="str">
        <f>IF(B927="","",IFERROR(VLOOKUP(B927,FLOTA!$A:$D,4,0)&amp;" — "&amp;VLOOKUP(B927,FLOTA!$A:$D,3,0),IFERROR(VLOOKUP(B927,'FLOTA TERCEROS'!$A:$D,4,0)&amp;" — "&amp;VLOOKUP(B927,'FLOTA TERCEROS'!$A:$D,3,0),"⚠ No encontrado")))</f>
        <v/>
      </c>
      <c r="D927" s="38"/>
      <c r="E927" s="39"/>
      <c r="F927" s="28"/>
      <c r="G927" s="40"/>
    </row>
    <row r="928" spans="1:7">
      <c r="A928" s="36"/>
      <c r="B928" s="37"/>
      <c r="C928" s="25" t="str">
        <f>IF(B928="","",IFERROR(VLOOKUP(B928,FLOTA!$A:$D,4,0)&amp;" — "&amp;VLOOKUP(B928,FLOTA!$A:$D,3,0),IFERROR(VLOOKUP(B928,'FLOTA TERCEROS'!$A:$D,4,0)&amp;" — "&amp;VLOOKUP(B928,'FLOTA TERCEROS'!$A:$D,3,0),"⚠ No encontrado")))</f>
        <v/>
      </c>
      <c r="D928" s="38"/>
      <c r="E928" s="39"/>
      <c r="F928" s="28"/>
      <c r="G928" s="40"/>
    </row>
    <row r="929" spans="1:7">
      <c r="A929" s="36"/>
      <c r="B929" s="37"/>
      <c r="C929" s="25" t="str">
        <f>IF(B929="","",IFERROR(VLOOKUP(B929,FLOTA!$A:$D,4,0)&amp;" — "&amp;VLOOKUP(B929,FLOTA!$A:$D,3,0),IFERROR(VLOOKUP(B929,'FLOTA TERCEROS'!$A:$D,4,0)&amp;" — "&amp;VLOOKUP(B929,'FLOTA TERCEROS'!$A:$D,3,0),"⚠ No encontrado")))</f>
        <v/>
      </c>
      <c r="D929" s="38"/>
      <c r="E929" s="39"/>
      <c r="F929" s="28"/>
      <c r="G929" s="40"/>
    </row>
    <row r="930" spans="1:7">
      <c r="A930" s="36"/>
      <c r="B930" s="37"/>
      <c r="C930" s="25" t="str">
        <f>IF(B930="","",IFERROR(VLOOKUP(B930,FLOTA!$A:$D,4,0)&amp;" — "&amp;VLOOKUP(B930,FLOTA!$A:$D,3,0),IFERROR(VLOOKUP(B930,'FLOTA TERCEROS'!$A:$D,4,0)&amp;" — "&amp;VLOOKUP(B930,'FLOTA TERCEROS'!$A:$D,3,0),"⚠ No encontrado")))</f>
        <v/>
      </c>
      <c r="D930" s="38"/>
      <c r="E930" s="39"/>
      <c r="F930" s="28"/>
      <c r="G930" s="40"/>
    </row>
    <row r="931" spans="1:7">
      <c r="A931" s="36"/>
      <c r="B931" s="37"/>
      <c r="C931" s="25" t="str">
        <f>IF(B931="","",IFERROR(VLOOKUP(B931,FLOTA!$A:$D,4,0)&amp;" — "&amp;VLOOKUP(B931,FLOTA!$A:$D,3,0),IFERROR(VLOOKUP(B931,'FLOTA TERCEROS'!$A:$D,4,0)&amp;" — "&amp;VLOOKUP(B931,'FLOTA TERCEROS'!$A:$D,3,0),"⚠ No encontrado")))</f>
        <v/>
      </c>
      <c r="D931" s="38"/>
      <c r="E931" s="39"/>
      <c r="F931" s="28"/>
      <c r="G931" s="40"/>
    </row>
    <row r="932" spans="1:7">
      <c r="A932" s="36"/>
      <c r="B932" s="37"/>
      <c r="C932" s="25" t="str">
        <f>IF(B932="","",IFERROR(VLOOKUP(B932,FLOTA!$A:$D,4,0)&amp;" — "&amp;VLOOKUP(B932,FLOTA!$A:$D,3,0),IFERROR(VLOOKUP(B932,'FLOTA TERCEROS'!$A:$D,4,0)&amp;" — "&amp;VLOOKUP(B932,'FLOTA TERCEROS'!$A:$D,3,0),"⚠ No encontrado")))</f>
        <v/>
      </c>
      <c r="D932" s="38"/>
      <c r="E932" s="39"/>
      <c r="F932" s="28"/>
      <c r="G932" s="40"/>
    </row>
    <row r="933" spans="1:7">
      <c r="A933" s="36"/>
      <c r="B933" s="37"/>
      <c r="C933" s="25" t="str">
        <f>IF(B933="","",IFERROR(VLOOKUP(B933,FLOTA!$A:$D,4,0)&amp;" — "&amp;VLOOKUP(B933,FLOTA!$A:$D,3,0),IFERROR(VLOOKUP(B933,'FLOTA TERCEROS'!$A:$D,4,0)&amp;" — "&amp;VLOOKUP(B933,'FLOTA TERCEROS'!$A:$D,3,0),"⚠ No encontrado")))</f>
        <v/>
      </c>
      <c r="D933" s="38"/>
      <c r="E933" s="39"/>
      <c r="F933" s="28"/>
      <c r="G933" s="40"/>
    </row>
    <row r="934" spans="1:7">
      <c r="A934" s="36"/>
      <c r="B934" s="37"/>
      <c r="C934" s="25" t="str">
        <f>IF(B934="","",IFERROR(VLOOKUP(B934,FLOTA!$A:$D,4,0)&amp;" — "&amp;VLOOKUP(B934,FLOTA!$A:$D,3,0),IFERROR(VLOOKUP(B934,'FLOTA TERCEROS'!$A:$D,4,0)&amp;" — "&amp;VLOOKUP(B934,'FLOTA TERCEROS'!$A:$D,3,0),"⚠ No encontrado")))</f>
        <v/>
      </c>
      <c r="D934" s="38"/>
      <c r="E934" s="39"/>
      <c r="F934" s="28"/>
      <c r="G934" s="40"/>
    </row>
    <row r="935" spans="1:7">
      <c r="A935" s="36"/>
      <c r="B935" s="37"/>
      <c r="C935" s="25" t="str">
        <f>IF(B935="","",IFERROR(VLOOKUP(B935,FLOTA!$A:$D,4,0)&amp;" — "&amp;VLOOKUP(B935,FLOTA!$A:$D,3,0),IFERROR(VLOOKUP(B935,'FLOTA TERCEROS'!$A:$D,4,0)&amp;" — "&amp;VLOOKUP(B935,'FLOTA TERCEROS'!$A:$D,3,0),"⚠ No encontrado")))</f>
        <v/>
      </c>
      <c r="D935" s="38"/>
      <c r="E935" s="39"/>
      <c r="F935" s="28"/>
      <c r="G935" s="40"/>
    </row>
    <row r="936" spans="1:7">
      <c r="A936" s="36"/>
      <c r="B936" s="37"/>
      <c r="C936" s="25" t="str">
        <f>IF(B936="","",IFERROR(VLOOKUP(B936,FLOTA!$A:$D,4,0)&amp;" — "&amp;VLOOKUP(B936,FLOTA!$A:$D,3,0),IFERROR(VLOOKUP(B936,'FLOTA TERCEROS'!$A:$D,4,0)&amp;" — "&amp;VLOOKUP(B936,'FLOTA TERCEROS'!$A:$D,3,0),"⚠ No encontrado")))</f>
        <v/>
      </c>
      <c r="D936" s="38"/>
      <c r="E936" s="39"/>
      <c r="F936" s="28"/>
      <c r="G936" s="40"/>
    </row>
    <row r="937" spans="1:7">
      <c r="A937" s="36"/>
      <c r="B937" s="37"/>
      <c r="C937" s="25" t="str">
        <f>IF(B937="","",IFERROR(VLOOKUP(B937,FLOTA!$A:$D,4,0)&amp;" — "&amp;VLOOKUP(B937,FLOTA!$A:$D,3,0),IFERROR(VLOOKUP(B937,'FLOTA TERCEROS'!$A:$D,4,0)&amp;" — "&amp;VLOOKUP(B937,'FLOTA TERCEROS'!$A:$D,3,0),"⚠ No encontrado")))</f>
        <v/>
      </c>
      <c r="D937" s="38"/>
      <c r="E937" s="39"/>
      <c r="F937" s="28"/>
      <c r="G937" s="40"/>
    </row>
    <row r="938" spans="1:7">
      <c r="A938" s="36"/>
      <c r="B938" s="37"/>
      <c r="C938" s="25" t="str">
        <f>IF(B938="","",IFERROR(VLOOKUP(B938,FLOTA!$A:$D,4,0)&amp;" — "&amp;VLOOKUP(B938,FLOTA!$A:$D,3,0),IFERROR(VLOOKUP(B938,'FLOTA TERCEROS'!$A:$D,4,0)&amp;" — "&amp;VLOOKUP(B938,'FLOTA TERCEROS'!$A:$D,3,0),"⚠ No encontrado")))</f>
        <v/>
      </c>
      <c r="D938" s="38"/>
      <c r="E938" s="39"/>
      <c r="F938" s="28"/>
      <c r="G938" s="40"/>
    </row>
    <row r="939" spans="1:7">
      <c r="A939" s="36"/>
      <c r="B939" s="37"/>
      <c r="C939" s="25" t="str">
        <f>IF(B939="","",IFERROR(VLOOKUP(B939,FLOTA!$A:$D,4,0)&amp;" — "&amp;VLOOKUP(B939,FLOTA!$A:$D,3,0),IFERROR(VLOOKUP(B939,'FLOTA TERCEROS'!$A:$D,4,0)&amp;" — "&amp;VLOOKUP(B939,'FLOTA TERCEROS'!$A:$D,3,0),"⚠ No encontrado")))</f>
        <v/>
      </c>
      <c r="D939" s="38"/>
      <c r="E939" s="39"/>
      <c r="F939" s="28"/>
      <c r="G939" s="40"/>
    </row>
    <row r="940" spans="1:7">
      <c r="A940" s="36"/>
      <c r="B940" s="37"/>
      <c r="C940" s="25" t="str">
        <f>IF(B940="","",IFERROR(VLOOKUP(B940,FLOTA!$A:$D,4,0)&amp;" — "&amp;VLOOKUP(B940,FLOTA!$A:$D,3,0),IFERROR(VLOOKUP(B940,'FLOTA TERCEROS'!$A:$D,4,0)&amp;" — "&amp;VLOOKUP(B940,'FLOTA TERCEROS'!$A:$D,3,0),"⚠ No encontrado")))</f>
        <v/>
      </c>
      <c r="D940" s="38"/>
      <c r="E940" s="39"/>
      <c r="F940" s="28"/>
      <c r="G940" s="40"/>
    </row>
    <row r="941" spans="1:7">
      <c r="A941" s="36"/>
      <c r="B941" s="37"/>
      <c r="C941" s="25" t="str">
        <f>IF(B941="","",IFERROR(VLOOKUP(B941,FLOTA!$A:$D,4,0)&amp;" — "&amp;VLOOKUP(B941,FLOTA!$A:$D,3,0),IFERROR(VLOOKUP(B941,'FLOTA TERCEROS'!$A:$D,4,0)&amp;" — "&amp;VLOOKUP(B941,'FLOTA TERCEROS'!$A:$D,3,0),"⚠ No encontrado")))</f>
        <v/>
      </c>
      <c r="D941" s="38"/>
      <c r="E941" s="39"/>
      <c r="F941" s="28"/>
      <c r="G941" s="40"/>
    </row>
    <row r="942" spans="1:7">
      <c r="A942" s="36"/>
      <c r="B942" s="37"/>
      <c r="C942" s="25" t="str">
        <f>IF(B942="","",IFERROR(VLOOKUP(B942,FLOTA!$A:$D,4,0)&amp;" — "&amp;VLOOKUP(B942,FLOTA!$A:$D,3,0),IFERROR(VLOOKUP(B942,'FLOTA TERCEROS'!$A:$D,4,0)&amp;" — "&amp;VLOOKUP(B942,'FLOTA TERCEROS'!$A:$D,3,0),"⚠ No encontrado")))</f>
        <v/>
      </c>
      <c r="D942" s="38"/>
      <c r="E942" s="39"/>
      <c r="F942" s="28"/>
      <c r="G942" s="40"/>
    </row>
    <row r="943" spans="1:7">
      <c r="A943" s="36"/>
      <c r="B943" s="37"/>
      <c r="C943" s="25" t="str">
        <f>IF(B943="","",IFERROR(VLOOKUP(B943,FLOTA!$A:$D,4,0)&amp;" — "&amp;VLOOKUP(B943,FLOTA!$A:$D,3,0),IFERROR(VLOOKUP(B943,'FLOTA TERCEROS'!$A:$D,4,0)&amp;" — "&amp;VLOOKUP(B943,'FLOTA TERCEROS'!$A:$D,3,0),"⚠ No encontrado")))</f>
        <v/>
      </c>
      <c r="D943" s="38"/>
      <c r="E943" s="39"/>
      <c r="F943" s="28"/>
      <c r="G943" s="40"/>
    </row>
    <row r="944" spans="1:7">
      <c r="A944" s="36"/>
      <c r="B944" s="37"/>
      <c r="C944" s="25" t="str">
        <f>IF(B944="","",IFERROR(VLOOKUP(B944,FLOTA!$A:$D,4,0)&amp;" — "&amp;VLOOKUP(B944,FLOTA!$A:$D,3,0),IFERROR(VLOOKUP(B944,'FLOTA TERCEROS'!$A:$D,4,0)&amp;" — "&amp;VLOOKUP(B944,'FLOTA TERCEROS'!$A:$D,3,0),"⚠ No encontrado")))</f>
        <v/>
      </c>
      <c r="D944" s="38"/>
      <c r="E944" s="39"/>
      <c r="F944" s="28"/>
      <c r="G944" s="40"/>
    </row>
    <row r="945" spans="1:7">
      <c r="A945" s="36"/>
      <c r="B945" s="37"/>
      <c r="C945" s="25" t="str">
        <f>IF(B945="","",IFERROR(VLOOKUP(B945,FLOTA!$A:$D,4,0)&amp;" — "&amp;VLOOKUP(B945,FLOTA!$A:$D,3,0),IFERROR(VLOOKUP(B945,'FLOTA TERCEROS'!$A:$D,4,0)&amp;" — "&amp;VLOOKUP(B945,'FLOTA TERCEROS'!$A:$D,3,0),"⚠ No encontrado")))</f>
        <v/>
      </c>
      <c r="D945" s="38"/>
      <c r="E945" s="39"/>
      <c r="F945" s="28"/>
      <c r="G945" s="40"/>
    </row>
    <row r="946" spans="1:7">
      <c r="A946" s="36"/>
      <c r="B946" s="37"/>
      <c r="C946" s="25" t="str">
        <f>IF(B946="","",IFERROR(VLOOKUP(B946,FLOTA!$A:$D,4,0)&amp;" — "&amp;VLOOKUP(B946,FLOTA!$A:$D,3,0),IFERROR(VLOOKUP(B946,'FLOTA TERCEROS'!$A:$D,4,0)&amp;" — "&amp;VLOOKUP(B946,'FLOTA TERCEROS'!$A:$D,3,0),"⚠ No encontrado")))</f>
        <v/>
      </c>
      <c r="D946" s="38"/>
      <c r="E946" s="39"/>
      <c r="F946" s="28"/>
      <c r="G946" s="40"/>
    </row>
    <row r="947" spans="1:7">
      <c r="A947" s="36"/>
      <c r="B947" s="37"/>
      <c r="C947" s="25" t="str">
        <f>IF(B947="","",IFERROR(VLOOKUP(B947,FLOTA!$A:$D,4,0)&amp;" — "&amp;VLOOKUP(B947,FLOTA!$A:$D,3,0),IFERROR(VLOOKUP(B947,'FLOTA TERCEROS'!$A:$D,4,0)&amp;" — "&amp;VLOOKUP(B947,'FLOTA TERCEROS'!$A:$D,3,0),"⚠ No encontrado")))</f>
        <v/>
      </c>
      <c r="D947" s="38"/>
      <c r="E947" s="39"/>
      <c r="F947" s="28"/>
      <c r="G947" s="40"/>
    </row>
    <row r="948" spans="1:7">
      <c r="A948" s="36"/>
      <c r="B948" s="37"/>
      <c r="C948" s="25" t="str">
        <f>IF(B948="","",IFERROR(VLOOKUP(B948,FLOTA!$A:$D,4,0)&amp;" — "&amp;VLOOKUP(B948,FLOTA!$A:$D,3,0),IFERROR(VLOOKUP(B948,'FLOTA TERCEROS'!$A:$D,4,0)&amp;" — "&amp;VLOOKUP(B948,'FLOTA TERCEROS'!$A:$D,3,0),"⚠ No encontrado")))</f>
        <v/>
      </c>
      <c r="D948" s="38"/>
      <c r="E948" s="39"/>
      <c r="F948" s="28"/>
      <c r="G948" s="40"/>
    </row>
    <row r="949" spans="1:7">
      <c r="A949" s="36"/>
      <c r="B949" s="37"/>
      <c r="C949" s="25" t="str">
        <f>IF(B949="","",IFERROR(VLOOKUP(B949,FLOTA!$A:$D,4,0)&amp;" — "&amp;VLOOKUP(B949,FLOTA!$A:$D,3,0),IFERROR(VLOOKUP(B949,'FLOTA TERCEROS'!$A:$D,4,0)&amp;" — "&amp;VLOOKUP(B949,'FLOTA TERCEROS'!$A:$D,3,0),"⚠ No encontrado")))</f>
        <v/>
      </c>
      <c r="D949" s="38"/>
      <c r="E949" s="39"/>
      <c r="F949" s="28"/>
      <c r="G949" s="40"/>
    </row>
    <row r="950" spans="1:7">
      <c r="A950" s="36"/>
      <c r="B950" s="37"/>
      <c r="C950" s="25" t="str">
        <f>IF(B950="","",IFERROR(VLOOKUP(B950,FLOTA!$A:$D,4,0)&amp;" — "&amp;VLOOKUP(B950,FLOTA!$A:$D,3,0),IFERROR(VLOOKUP(B950,'FLOTA TERCEROS'!$A:$D,4,0)&amp;" — "&amp;VLOOKUP(B950,'FLOTA TERCEROS'!$A:$D,3,0),"⚠ No encontrado")))</f>
        <v/>
      </c>
      <c r="D950" s="38"/>
      <c r="E950" s="39"/>
      <c r="F950" s="28"/>
      <c r="G950" s="40"/>
    </row>
    <row r="951" spans="1:7">
      <c r="A951" s="36"/>
      <c r="B951" s="37"/>
      <c r="C951" s="25" t="str">
        <f>IF(B951="","",IFERROR(VLOOKUP(B951,FLOTA!$A:$D,4,0)&amp;" — "&amp;VLOOKUP(B951,FLOTA!$A:$D,3,0),IFERROR(VLOOKUP(B951,'FLOTA TERCEROS'!$A:$D,4,0)&amp;" — "&amp;VLOOKUP(B951,'FLOTA TERCEROS'!$A:$D,3,0),"⚠ No encontrado")))</f>
        <v/>
      </c>
      <c r="D951" s="38"/>
      <c r="E951" s="39"/>
      <c r="F951" s="28"/>
      <c r="G951" s="40"/>
    </row>
    <row r="952" spans="1:7">
      <c r="A952" s="36"/>
      <c r="B952" s="37"/>
      <c r="C952" s="25" t="str">
        <f>IF(B952="","",IFERROR(VLOOKUP(B952,FLOTA!$A:$D,4,0)&amp;" — "&amp;VLOOKUP(B952,FLOTA!$A:$D,3,0),IFERROR(VLOOKUP(B952,'FLOTA TERCEROS'!$A:$D,4,0)&amp;" — "&amp;VLOOKUP(B952,'FLOTA TERCEROS'!$A:$D,3,0),"⚠ No encontrado")))</f>
        <v/>
      </c>
      <c r="D952" s="38"/>
      <c r="E952" s="39"/>
      <c r="F952" s="28"/>
      <c r="G952" s="40"/>
    </row>
    <row r="953" spans="1:7">
      <c r="A953" s="36"/>
      <c r="B953" s="37"/>
      <c r="C953" s="25" t="str">
        <f>IF(B953="","",IFERROR(VLOOKUP(B953,FLOTA!$A:$D,4,0)&amp;" — "&amp;VLOOKUP(B953,FLOTA!$A:$D,3,0),IFERROR(VLOOKUP(B953,'FLOTA TERCEROS'!$A:$D,4,0)&amp;" — "&amp;VLOOKUP(B953,'FLOTA TERCEROS'!$A:$D,3,0),"⚠ No encontrado")))</f>
        <v/>
      </c>
      <c r="D953" s="38"/>
      <c r="E953" s="39"/>
      <c r="F953" s="28"/>
      <c r="G953" s="40"/>
    </row>
    <row r="954" spans="1:7">
      <c r="A954" s="36"/>
      <c r="B954" s="37"/>
      <c r="C954" s="25" t="str">
        <f>IF(B954="","",IFERROR(VLOOKUP(B954,FLOTA!$A:$D,4,0)&amp;" — "&amp;VLOOKUP(B954,FLOTA!$A:$D,3,0),IFERROR(VLOOKUP(B954,'FLOTA TERCEROS'!$A:$D,4,0)&amp;" — "&amp;VLOOKUP(B954,'FLOTA TERCEROS'!$A:$D,3,0),"⚠ No encontrado")))</f>
        <v/>
      </c>
      <c r="D954" s="38"/>
      <c r="E954" s="39"/>
      <c r="F954" s="28"/>
      <c r="G954" s="40"/>
    </row>
    <row r="955" spans="1:7">
      <c r="A955" s="36"/>
      <c r="B955" s="37"/>
      <c r="C955" s="25" t="str">
        <f>IF(B955="","",IFERROR(VLOOKUP(B955,FLOTA!$A:$D,4,0)&amp;" — "&amp;VLOOKUP(B955,FLOTA!$A:$D,3,0),IFERROR(VLOOKUP(B955,'FLOTA TERCEROS'!$A:$D,4,0)&amp;" — "&amp;VLOOKUP(B955,'FLOTA TERCEROS'!$A:$D,3,0),"⚠ No encontrado")))</f>
        <v/>
      </c>
      <c r="D955" s="38"/>
      <c r="E955" s="39"/>
      <c r="F955" s="28"/>
      <c r="G955" s="40"/>
    </row>
    <row r="956" spans="1:7">
      <c r="A956" s="36"/>
      <c r="B956" s="37"/>
      <c r="C956" s="25" t="str">
        <f>IF(B956="","",IFERROR(VLOOKUP(B956,FLOTA!$A:$D,4,0)&amp;" — "&amp;VLOOKUP(B956,FLOTA!$A:$D,3,0),IFERROR(VLOOKUP(B956,'FLOTA TERCEROS'!$A:$D,4,0)&amp;" — "&amp;VLOOKUP(B956,'FLOTA TERCEROS'!$A:$D,3,0),"⚠ No encontrado")))</f>
        <v/>
      </c>
      <c r="D956" s="38"/>
      <c r="E956" s="39"/>
      <c r="F956" s="28"/>
      <c r="G956" s="40"/>
    </row>
    <row r="957" spans="1:7">
      <c r="A957" s="36"/>
      <c r="B957" s="37"/>
      <c r="C957" s="25" t="str">
        <f>IF(B957="","",IFERROR(VLOOKUP(B957,FLOTA!$A:$D,4,0)&amp;" — "&amp;VLOOKUP(B957,FLOTA!$A:$D,3,0),IFERROR(VLOOKUP(B957,'FLOTA TERCEROS'!$A:$D,4,0)&amp;" — "&amp;VLOOKUP(B957,'FLOTA TERCEROS'!$A:$D,3,0),"⚠ No encontrado")))</f>
        <v/>
      </c>
      <c r="D957" s="38"/>
      <c r="E957" s="39"/>
      <c r="F957" s="28"/>
      <c r="G957" s="40"/>
    </row>
    <row r="958" spans="1:7">
      <c r="A958" s="36"/>
      <c r="B958" s="37"/>
      <c r="C958" s="25" t="str">
        <f>IF(B958="","",IFERROR(VLOOKUP(B958,FLOTA!$A:$D,4,0)&amp;" — "&amp;VLOOKUP(B958,FLOTA!$A:$D,3,0),IFERROR(VLOOKUP(B958,'FLOTA TERCEROS'!$A:$D,4,0)&amp;" — "&amp;VLOOKUP(B958,'FLOTA TERCEROS'!$A:$D,3,0),"⚠ No encontrado")))</f>
        <v/>
      </c>
      <c r="D958" s="38"/>
      <c r="E958" s="39"/>
      <c r="F958" s="28"/>
      <c r="G958" s="40"/>
    </row>
    <row r="959" spans="1:7">
      <c r="A959" s="36"/>
      <c r="B959" s="37"/>
      <c r="C959" s="25" t="str">
        <f>IF(B959="","",IFERROR(VLOOKUP(B959,FLOTA!$A:$D,4,0)&amp;" — "&amp;VLOOKUP(B959,FLOTA!$A:$D,3,0),IFERROR(VLOOKUP(B959,'FLOTA TERCEROS'!$A:$D,4,0)&amp;" — "&amp;VLOOKUP(B959,'FLOTA TERCEROS'!$A:$D,3,0),"⚠ No encontrado")))</f>
        <v/>
      </c>
      <c r="D959" s="38"/>
      <c r="E959" s="39"/>
      <c r="F959" s="28"/>
      <c r="G959" s="40"/>
    </row>
    <row r="960" spans="1:7">
      <c r="A960" s="36"/>
      <c r="B960" s="37"/>
      <c r="C960" s="25" t="str">
        <f>IF(B960="","",IFERROR(VLOOKUP(B960,FLOTA!$A:$D,4,0)&amp;" — "&amp;VLOOKUP(B960,FLOTA!$A:$D,3,0),IFERROR(VLOOKUP(B960,'FLOTA TERCEROS'!$A:$D,4,0)&amp;" — "&amp;VLOOKUP(B960,'FLOTA TERCEROS'!$A:$D,3,0),"⚠ No encontrado")))</f>
        <v/>
      </c>
      <c r="D960" s="38"/>
      <c r="E960" s="39"/>
      <c r="F960" s="28"/>
      <c r="G960" s="40"/>
    </row>
    <row r="961" spans="1:7">
      <c r="A961" s="36"/>
      <c r="B961" s="37"/>
      <c r="C961" s="25" t="str">
        <f>IF(B961="","",IFERROR(VLOOKUP(B961,FLOTA!$A:$D,4,0)&amp;" — "&amp;VLOOKUP(B961,FLOTA!$A:$D,3,0),IFERROR(VLOOKUP(B961,'FLOTA TERCEROS'!$A:$D,4,0)&amp;" — "&amp;VLOOKUP(B961,'FLOTA TERCEROS'!$A:$D,3,0),"⚠ No encontrado")))</f>
        <v/>
      </c>
      <c r="D961" s="38"/>
      <c r="E961" s="39"/>
      <c r="F961" s="28"/>
      <c r="G961" s="40"/>
    </row>
    <row r="962" spans="1:7">
      <c r="A962" s="36"/>
      <c r="B962" s="37"/>
      <c r="C962" s="25" t="str">
        <f>IF(B962="","",IFERROR(VLOOKUP(B962,FLOTA!$A:$D,4,0)&amp;" — "&amp;VLOOKUP(B962,FLOTA!$A:$D,3,0),IFERROR(VLOOKUP(B962,'FLOTA TERCEROS'!$A:$D,4,0)&amp;" — "&amp;VLOOKUP(B962,'FLOTA TERCEROS'!$A:$D,3,0),"⚠ No encontrado")))</f>
        <v/>
      </c>
      <c r="D962" s="38"/>
      <c r="E962" s="39"/>
      <c r="F962" s="28"/>
      <c r="G962" s="40"/>
    </row>
    <row r="963" spans="1:7">
      <c r="A963" s="36"/>
      <c r="B963" s="37"/>
      <c r="C963" s="25" t="str">
        <f>IF(B963="","",IFERROR(VLOOKUP(B963,FLOTA!$A:$D,4,0)&amp;" — "&amp;VLOOKUP(B963,FLOTA!$A:$D,3,0),IFERROR(VLOOKUP(B963,'FLOTA TERCEROS'!$A:$D,4,0)&amp;" — "&amp;VLOOKUP(B963,'FLOTA TERCEROS'!$A:$D,3,0),"⚠ No encontrado")))</f>
        <v/>
      </c>
      <c r="D963" s="38"/>
      <c r="E963" s="39"/>
      <c r="F963" s="28"/>
      <c r="G963" s="40"/>
    </row>
    <row r="964" spans="1:7">
      <c r="A964" s="36"/>
      <c r="B964" s="37"/>
      <c r="C964" s="25" t="str">
        <f>IF(B964="","",IFERROR(VLOOKUP(B964,FLOTA!$A:$D,4,0)&amp;" — "&amp;VLOOKUP(B964,FLOTA!$A:$D,3,0),IFERROR(VLOOKUP(B964,'FLOTA TERCEROS'!$A:$D,4,0)&amp;" — "&amp;VLOOKUP(B964,'FLOTA TERCEROS'!$A:$D,3,0),"⚠ No encontrado")))</f>
        <v/>
      </c>
      <c r="D964" s="38"/>
      <c r="E964" s="39"/>
      <c r="F964" s="28"/>
      <c r="G964" s="40"/>
    </row>
    <row r="965" spans="1:7">
      <c r="A965" s="36"/>
      <c r="B965" s="37"/>
      <c r="C965" s="25" t="str">
        <f>IF(B965="","",IFERROR(VLOOKUP(B965,FLOTA!$A:$D,4,0)&amp;" — "&amp;VLOOKUP(B965,FLOTA!$A:$D,3,0),IFERROR(VLOOKUP(B965,'FLOTA TERCEROS'!$A:$D,4,0)&amp;" — "&amp;VLOOKUP(B965,'FLOTA TERCEROS'!$A:$D,3,0),"⚠ No encontrado")))</f>
        <v/>
      </c>
      <c r="D965" s="38"/>
      <c r="E965" s="39"/>
      <c r="F965" s="28"/>
      <c r="G965" s="40"/>
    </row>
    <row r="966" spans="1:7">
      <c r="A966" s="36"/>
      <c r="B966" s="37"/>
      <c r="C966" s="25" t="str">
        <f>IF(B966="","",IFERROR(VLOOKUP(B966,FLOTA!$A:$D,4,0)&amp;" — "&amp;VLOOKUP(B966,FLOTA!$A:$D,3,0),IFERROR(VLOOKUP(B966,'FLOTA TERCEROS'!$A:$D,4,0)&amp;" — "&amp;VLOOKUP(B966,'FLOTA TERCEROS'!$A:$D,3,0),"⚠ No encontrado")))</f>
        <v/>
      </c>
      <c r="D966" s="38"/>
      <c r="E966" s="39"/>
      <c r="F966" s="28"/>
      <c r="G966" s="40"/>
    </row>
    <row r="967" spans="1:7">
      <c r="A967" s="36"/>
      <c r="B967" s="37"/>
      <c r="C967" s="25" t="str">
        <f>IF(B967="","",IFERROR(VLOOKUP(B967,FLOTA!$A:$D,4,0)&amp;" — "&amp;VLOOKUP(B967,FLOTA!$A:$D,3,0),IFERROR(VLOOKUP(B967,'FLOTA TERCEROS'!$A:$D,4,0)&amp;" — "&amp;VLOOKUP(B967,'FLOTA TERCEROS'!$A:$D,3,0),"⚠ No encontrado")))</f>
        <v/>
      </c>
      <c r="D967" s="38"/>
      <c r="E967" s="39"/>
      <c r="F967" s="28"/>
      <c r="G967" s="40"/>
    </row>
    <row r="968" spans="1:7">
      <c r="A968" s="36"/>
      <c r="B968" s="37"/>
      <c r="C968" s="25" t="str">
        <f>IF(B968="","",IFERROR(VLOOKUP(B968,FLOTA!$A:$D,4,0)&amp;" — "&amp;VLOOKUP(B968,FLOTA!$A:$D,3,0),IFERROR(VLOOKUP(B968,'FLOTA TERCEROS'!$A:$D,4,0)&amp;" — "&amp;VLOOKUP(B968,'FLOTA TERCEROS'!$A:$D,3,0),"⚠ No encontrado")))</f>
        <v/>
      </c>
      <c r="D968" s="38"/>
      <c r="E968" s="39"/>
      <c r="F968" s="28"/>
      <c r="G968" s="40"/>
    </row>
    <row r="969" spans="1:7">
      <c r="A969" s="36"/>
      <c r="B969" s="37"/>
      <c r="C969" s="25" t="str">
        <f>IF(B969="","",IFERROR(VLOOKUP(B969,FLOTA!$A:$D,4,0)&amp;" — "&amp;VLOOKUP(B969,FLOTA!$A:$D,3,0),IFERROR(VLOOKUP(B969,'FLOTA TERCEROS'!$A:$D,4,0)&amp;" — "&amp;VLOOKUP(B969,'FLOTA TERCEROS'!$A:$D,3,0),"⚠ No encontrado")))</f>
        <v/>
      </c>
      <c r="D969" s="38"/>
      <c r="E969" s="39"/>
      <c r="F969" s="28"/>
      <c r="G969" s="40"/>
    </row>
    <row r="970" spans="1:7">
      <c r="A970" s="36"/>
      <c r="B970" s="37"/>
      <c r="C970" s="25" t="str">
        <f>IF(B970="","",IFERROR(VLOOKUP(B970,FLOTA!$A:$D,4,0)&amp;" — "&amp;VLOOKUP(B970,FLOTA!$A:$D,3,0),IFERROR(VLOOKUP(B970,'FLOTA TERCEROS'!$A:$D,4,0)&amp;" — "&amp;VLOOKUP(B970,'FLOTA TERCEROS'!$A:$D,3,0),"⚠ No encontrado")))</f>
        <v/>
      </c>
      <c r="D970" s="38"/>
      <c r="E970" s="39"/>
      <c r="F970" s="28"/>
      <c r="G970" s="40"/>
    </row>
    <row r="971" spans="1:7">
      <c r="A971" s="36"/>
      <c r="B971" s="37"/>
      <c r="C971" s="25" t="str">
        <f>IF(B971="","",IFERROR(VLOOKUP(B971,FLOTA!$A:$D,4,0)&amp;" — "&amp;VLOOKUP(B971,FLOTA!$A:$D,3,0),IFERROR(VLOOKUP(B971,'FLOTA TERCEROS'!$A:$D,4,0)&amp;" — "&amp;VLOOKUP(B971,'FLOTA TERCEROS'!$A:$D,3,0),"⚠ No encontrado")))</f>
        <v/>
      </c>
      <c r="D971" s="38"/>
      <c r="E971" s="39"/>
      <c r="F971" s="28"/>
      <c r="G971" s="40"/>
    </row>
    <row r="972" spans="1:7">
      <c r="A972" s="36"/>
      <c r="B972" s="37"/>
      <c r="C972" s="25" t="str">
        <f>IF(B972="","",IFERROR(VLOOKUP(B972,FLOTA!$A:$D,4,0)&amp;" — "&amp;VLOOKUP(B972,FLOTA!$A:$D,3,0),IFERROR(VLOOKUP(B972,'FLOTA TERCEROS'!$A:$D,4,0)&amp;" — "&amp;VLOOKUP(B972,'FLOTA TERCEROS'!$A:$D,3,0),"⚠ No encontrado")))</f>
        <v/>
      </c>
      <c r="D972" s="38"/>
      <c r="E972" s="39"/>
      <c r="F972" s="28"/>
      <c r="G972" s="40"/>
    </row>
    <row r="973" spans="1:7">
      <c r="A973" s="36"/>
      <c r="B973" s="37"/>
      <c r="C973" s="25" t="str">
        <f>IF(B973="","",IFERROR(VLOOKUP(B973,FLOTA!$A:$D,4,0)&amp;" — "&amp;VLOOKUP(B973,FLOTA!$A:$D,3,0),IFERROR(VLOOKUP(B973,'FLOTA TERCEROS'!$A:$D,4,0)&amp;" — "&amp;VLOOKUP(B973,'FLOTA TERCEROS'!$A:$D,3,0),"⚠ No encontrado")))</f>
        <v/>
      </c>
      <c r="D973" s="38"/>
      <c r="E973" s="39"/>
      <c r="F973" s="28"/>
      <c r="G973" s="40"/>
    </row>
    <row r="974" spans="1:7">
      <c r="A974" s="36"/>
      <c r="B974" s="37"/>
      <c r="C974" s="25" t="str">
        <f>IF(B974="","",IFERROR(VLOOKUP(B974,FLOTA!$A:$D,4,0)&amp;" — "&amp;VLOOKUP(B974,FLOTA!$A:$D,3,0),IFERROR(VLOOKUP(B974,'FLOTA TERCEROS'!$A:$D,4,0)&amp;" — "&amp;VLOOKUP(B974,'FLOTA TERCEROS'!$A:$D,3,0),"⚠ No encontrado")))</f>
        <v/>
      </c>
      <c r="D974" s="38"/>
      <c r="E974" s="39"/>
      <c r="F974" s="28"/>
      <c r="G974" s="40"/>
    </row>
    <row r="975" spans="1:7">
      <c r="A975" s="36"/>
      <c r="B975" s="37"/>
      <c r="C975" s="25" t="str">
        <f>IF(B975="","",IFERROR(VLOOKUP(B975,FLOTA!$A:$D,4,0)&amp;" — "&amp;VLOOKUP(B975,FLOTA!$A:$D,3,0),IFERROR(VLOOKUP(B975,'FLOTA TERCEROS'!$A:$D,4,0)&amp;" — "&amp;VLOOKUP(B975,'FLOTA TERCEROS'!$A:$D,3,0),"⚠ No encontrado")))</f>
        <v/>
      </c>
      <c r="D975" s="38"/>
      <c r="E975" s="39"/>
      <c r="F975" s="28"/>
      <c r="G975" s="40"/>
    </row>
    <row r="976" spans="1:7">
      <c r="A976" s="36"/>
      <c r="B976" s="37"/>
      <c r="C976" s="25" t="str">
        <f>IF(B976="","",IFERROR(VLOOKUP(B976,FLOTA!$A:$D,4,0)&amp;" — "&amp;VLOOKUP(B976,FLOTA!$A:$D,3,0),IFERROR(VLOOKUP(B976,'FLOTA TERCEROS'!$A:$D,4,0)&amp;" — "&amp;VLOOKUP(B976,'FLOTA TERCEROS'!$A:$D,3,0),"⚠ No encontrado")))</f>
        <v/>
      </c>
      <c r="D976" s="38"/>
      <c r="E976" s="39"/>
      <c r="F976" s="28"/>
      <c r="G976" s="40"/>
    </row>
    <row r="977" spans="1:7">
      <c r="A977" s="36"/>
      <c r="B977" s="37"/>
      <c r="C977" s="25" t="str">
        <f>IF(B977="","",IFERROR(VLOOKUP(B977,FLOTA!$A:$D,4,0)&amp;" — "&amp;VLOOKUP(B977,FLOTA!$A:$D,3,0),IFERROR(VLOOKUP(B977,'FLOTA TERCEROS'!$A:$D,4,0)&amp;" — "&amp;VLOOKUP(B977,'FLOTA TERCEROS'!$A:$D,3,0),"⚠ No encontrado")))</f>
        <v/>
      </c>
      <c r="D977" s="38"/>
      <c r="E977" s="39"/>
      <c r="F977" s="28"/>
      <c r="G977" s="40"/>
    </row>
    <row r="978" spans="1:7">
      <c r="A978" s="36"/>
      <c r="B978" s="37"/>
      <c r="C978" s="25" t="str">
        <f>IF(B978="","",IFERROR(VLOOKUP(B978,FLOTA!$A:$D,4,0)&amp;" — "&amp;VLOOKUP(B978,FLOTA!$A:$D,3,0),IFERROR(VLOOKUP(B978,'FLOTA TERCEROS'!$A:$D,4,0)&amp;" — "&amp;VLOOKUP(B978,'FLOTA TERCEROS'!$A:$D,3,0),"⚠ No encontrado")))</f>
        <v/>
      </c>
      <c r="D978" s="38"/>
      <c r="E978" s="39"/>
      <c r="F978" s="28"/>
      <c r="G978" s="40"/>
    </row>
    <row r="979" spans="1:7">
      <c r="A979" s="36"/>
      <c r="B979" s="37"/>
      <c r="C979" s="25" t="str">
        <f>IF(B979="","",IFERROR(VLOOKUP(B979,FLOTA!$A:$D,4,0)&amp;" — "&amp;VLOOKUP(B979,FLOTA!$A:$D,3,0),IFERROR(VLOOKUP(B979,'FLOTA TERCEROS'!$A:$D,4,0)&amp;" — "&amp;VLOOKUP(B979,'FLOTA TERCEROS'!$A:$D,3,0),"⚠ No encontrado")))</f>
        <v/>
      </c>
      <c r="D979" s="38"/>
      <c r="E979" s="39"/>
      <c r="F979" s="28"/>
      <c r="G979" s="40"/>
    </row>
    <row r="980" spans="1:7">
      <c r="A980" s="36"/>
      <c r="B980" s="37"/>
      <c r="C980" s="25" t="str">
        <f>IF(B980="","",IFERROR(VLOOKUP(B980,FLOTA!$A:$D,4,0)&amp;" — "&amp;VLOOKUP(B980,FLOTA!$A:$D,3,0),IFERROR(VLOOKUP(B980,'FLOTA TERCEROS'!$A:$D,4,0)&amp;" — "&amp;VLOOKUP(B980,'FLOTA TERCEROS'!$A:$D,3,0),"⚠ No encontrado")))</f>
        <v/>
      </c>
      <c r="D980" s="38"/>
      <c r="E980" s="39"/>
      <c r="F980" s="28"/>
      <c r="G980" s="40"/>
    </row>
    <row r="981" spans="1:7">
      <c r="A981" s="36"/>
      <c r="B981" s="37"/>
      <c r="C981" s="25" t="str">
        <f>IF(B981="","",IFERROR(VLOOKUP(B981,FLOTA!$A:$D,4,0)&amp;" — "&amp;VLOOKUP(B981,FLOTA!$A:$D,3,0),IFERROR(VLOOKUP(B981,'FLOTA TERCEROS'!$A:$D,4,0)&amp;" — "&amp;VLOOKUP(B981,'FLOTA TERCEROS'!$A:$D,3,0),"⚠ No encontrado")))</f>
        <v/>
      </c>
      <c r="D981" s="38"/>
      <c r="E981" s="39"/>
      <c r="F981" s="28"/>
      <c r="G981" s="40"/>
    </row>
    <row r="982" spans="1:7">
      <c r="A982" s="36"/>
      <c r="B982" s="37"/>
      <c r="C982" s="25" t="str">
        <f>IF(B982="","",IFERROR(VLOOKUP(B982,FLOTA!$A:$D,4,0)&amp;" — "&amp;VLOOKUP(B982,FLOTA!$A:$D,3,0),IFERROR(VLOOKUP(B982,'FLOTA TERCEROS'!$A:$D,4,0)&amp;" — "&amp;VLOOKUP(B982,'FLOTA TERCEROS'!$A:$D,3,0),"⚠ No encontrado")))</f>
        <v/>
      </c>
      <c r="D982" s="38"/>
      <c r="E982" s="39"/>
      <c r="F982" s="28"/>
      <c r="G982" s="40"/>
    </row>
    <row r="983" spans="1:7">
      <c r="A983" s="36"/>
      <c r="B983" s="37"/>
      <c r="C983" s="25" t="str">
        <f>IF(B983="","",IFERROR(VLOOKUP(B983,FLOTA!$A:$D,4,0)&amp;" — "&amp;VLOOKUP(B983,FLOTA!$A:$D,3,0),IFERROR(VLOOKUP(B983,'FLOTA TERCEROS'!$A:$D,4,0)&amp;" — "&amp;VLOOKUP(B983,'FLOTA TERCEROS'!$A:$D,3,0),"⚠ No encontrado")))</f>
        <v/>
      </c>
      <c r="D983" s="38"/>
      <c r="E983" s="39"/>
      <c r="F983" s="28"/>
      <c r="G983" s="40"/>
    </row>
    <row r="984" spans="1:7">
      <c r="A984" s="36"/>
      <c r="B984" s="37"/>
      <c r="C984" s="25" t="str">
        <f>IF(B984="","",IFERROR(VLOOKUP(B984,FLOTA!$A:$D,4,0)&amp;" — "&amp;VLOOKUP(B984,FLOTA!$A:$D,3,0),IFERROR(VLOOKUP(B984,'FLOTA TERCEROS'!$A:$D,4,0)&amp;" — "&amp;VLOOKUP(B984,'FLOTA TERCEROS'!$A:$D,3,0),"⚠ No encontrado")))</f>
        <v/>
      </c>
      <c r="D984" s="38"/>
      <c r="E984" s="39"/>
      <c r="F984" s="28"/>
      <c r="G984" s="40"/>
    </row>
    <row r="985" spans="1:7">
      <c r="A985" s="36"/>
      <c r="B985" s="37"/>
      <c r="C985" s="25" t="str">
        <f>IF(B985="","",IFERROR(VLOOKUP(B985,FLOTA!$A:$D,4,0)&amp;" — "&amp;VLOOKUP(B985,FLOTA!$A:$D,3,0),IFERROR(VLOOKUP(B985,'FLOTA TERCEROS'!$A:$D,4,0)&amp;" — "&amp;VLOOKUP(B985,'FLOTA TERCEROS'!$A:$D,3,0),"⚠ No encontrado")))</f>
        <v/>
      </c>
      <c r="D985" s="38"/>
      <c r="E985" s="39"/>
      <c r="F985" s="28"/>
      <c r="G985" s="40"/>
    </row>
    <row r="986" spans="1:7">
      <c r="A986" s="36"/>
      <c r="B986" s="37"/>
      <c r="C986" s="25" t="str">
        <f>IF(B986="","",IFERROR(VLOOKUP(B986,FLOTA!$A:$D,4,0)&amp;" — "&amp;VLOOKUP(B986,FLOTA!$A:$D,3,0),IFERROR(VLOOKUP(B986,'FLOTA TERCEROS'!$A:$D,4,0)&amp;" — "&amp;VLOOKUP(B986,'FLOTA TERCEROS'!$A:$D,3,0),"⚠ No encontrado")))</f>
        <v/>
      </c>
      <c r="D986" s="38"/>
      <c r="E986" s="39"/>
      <c r="F986" s="28"/>
      <c r="G986" s="40"/>
    </row>
    <row r="987" spans="1:7">
      <c r="A987" s="36"/>
      <c r="B987" s="37"/>
      <c r="C987" s="25" t="str">
        <f>IF(B987="","",IFERROR(VLOOKUP(B987,FLOTA!$A:$D,4,0)&amp;" — "&amp;VLOOKUP(B987,FLOTA!$A:$D,3,0),IFERROR(VLOOKUP(B987,'FLOTA TERCEROS'!$A:$D,4,0)&amp;" — "&amp;VLOOKUP(B987,'FLOTA TERCEROS'!$A:$D,3,0),"⚠ No encontrado")))</f>
        <v/>
      </c>
      <c r="D987" s="38"/>
      <c r="E987" s="39"/>
      <c r="F987" s="28"/>
      <c r="G987" s="40"/>
    </row>
    <row r="988" spans="1:7">
      <c r="A988" s="36"/>
      <c r="B988" s="37"/>
      <c r="C988" s="25" t="str">
        <f>IF(B988="","",IFERROR(VLOOKUP(B988,FLOTA!$A:$D,4,0)&amp;" — "&amp;VLOOKUP(B988,FLOTA!$A:$D,3,0),IFERROR(VLOOKUP(B988,'FLOTA TERCEROS'!$A:$D,4,0)&amp;" — "&amp;VLOOKUP(B988,'FLOTA TERCEROS'!$A:$D,3,0),"⚠ No encontrado")))</f>
        <v/>
      </c>
      <c r="D988" s="38"/>
      <c r="E988" s="39"/>
      <c r="F988" s="28"/>
      <c r="G988" s="40"/>
    </row>
    <row r="989" spans="1:7">
      <c r="A989" s="36"/>
      <c r="B989" s="37"/>
      <c r="C989" s="25" t="str">
        <f>IF(B989="","",IFERROR(VLOOKUP(B989,FLOTA!$A:$D,4,0)&amp;" — "&amp;VLOOKUP(B989,FLOTA!$A:$D,3,0),IFERROR(VLOOKUP(B989,'FLOTA TERCEROS'!$A:$D,4,0)&amp;" — "&amp;VLOOKUP(B989,'FLOTA TERCEROS'!$A:$D,3,0),"⚠ No encontrado")))</f>
        <v/>
      </c>
      <c r="D989" s="38"/>
      <c r="E989" s="39"/>
      <c r="F989" s="28"/>
      <c r="G989" s="40"/>
    </row>
    <row r="990" spans="1:7">
      <c r="A990" s="36"/>
      <c r="B990" s="37"/>
      <c r="C990" s="25" t="str">
        <f>IF(B990="","",IFERROR(VLOOKUP(B990,FLOTA!$A:$D,4,0)&amp;" — "&amp;VLOOKUP(B990,FLOTA!$A:$D,3,0),IFERROR(VLOOKUP(B990,'FLOTA TERCEROS'!$A:$D,4,0)&amp;" — "&amp;VLOOKUP(B990,'FLOTA TERCEROS'!$A:$D,3,0),"⚠ No encontrado")))</f>
        <v/>
      </c>
      <c r="D990" s="38"/>
      <c r="E990" s="39"/>
      <c r="F990" s="28"/>
      <c r="G990" s="40"/>
    </row>
    <row r="991" spans="1:7">
      <c r="A991" s="36"/>
      <c r="B991" s="37"/>
      <c r="C991" s="25" t="str">
        <f>IF(B991="","",IFERROR(VLOOKUP(B991,FLOTA!$A:$D,4,0)&amp;" — "&amp;VLOOKUP(B991,FLOTA!$A:$D,3,0),IFERROR(VLOOKUP(B991,'FLOTA TERCEROS'!$A:$D,4,0)&amp;" — "&amp;VLOOKUP(B991,'FLOTA TERCEROS'!$A:$D,3,0),"⚠ No encontrado")))</f>
        <v/>
      </c>
      <c r="D991" s="38"/>
      <c r="E991" s="39"/>
      <c r="F991" s="28"/>
      <c r="G991" s="40"/>
    </row>
    <row r="992" spans="1:7">
      <c r="A992" s="36"/>
      <c r="B992" s="37"/>
      <c r="C992" s="25" t="str">
        <f>IF(B992="","",IFERROR(VLOOKUP(B992,FLOTA!$A:$D,4,0)&amp;" — "&amp;VLOOKUP(B992,FLOTA!$A:$D,3,0),IFERROR(VLOOKUP(B992,'FLOTA TERCEROS'!$A:$D,4,0)&amp;" — "&amp;VLOOKUP(B992,'FLOTA TERCEROS'!$A:$D,3,0),"⚠ No encontrado")))</f>
        <v/>
      </c>
      <c r="D992" s="38"/>
      <c r="E992" s="39"/>
      <c r="F992" s="28"/>
      <c r="G992" s="40"/>
    </row>
    <row r="993" spans="1:7">
      <c r="A993" s="36"/>
      <c r="B993" s="37"/>
      <c r="C993" s="25" t="str">
        <f>IF(B993="","",IFERROR(VLOOKUP(B993,FLOTA!$A:$D,4,0)&amp;" — "&amp;VLOOKUP(B993,FLOTA!$A:$D,3,0),IFERROR(VLOOKUP(B993,'FLOTA TERCEROS'!$A:$D,4,0)&amp;" — "&amp;VLOOKUP(B993,'FLOTA TERCEROS'!$A:$D,3,0),"⚠ No encontrado")))</f>
        <v/>
      </c>
      <c r="D993" s="38"/>
      <c r="E993" s="39"/>
      <c r="F993" s="28"/>
      <c r="G993" s="40"/>
    </row>
    <row r="994" spans="1:7">
      <c r="A994" s="36"/>
      <c r="B994" s="37"/>
      <c r="C994" s="25" t="str">
        <f>IF(B994="","",IFERROR(VLOOKUP(B994,FLOTA!$A:$D,4,0)&amp;" — "&amp;VLOOKUP(B994,FLOTA!$A:$D,3,0),IFERROR(VLOOKUP(B994,'FLOTA TERCEROS'!$A:$D,4,0)&amp;" — "&amp;VLOOKUP(B994,'FLOTA TERCEROS'!$A:$D,3,0),"⚠ No encontrado")))</f>
        <v/>
      </c>
      <c r="D994" s="38"/>
      <c r="E994" s="39"/>
      <c r="F994" s="28"/>
      <c r="G994" s="40"/>
    </row>
    <row r="995" spans="1:7">
      <c r="A995" s="36"/>
      <c r="B995" s="37"/>
      <c r="C995" s="25" t="str">
        <f>IF(B995="","",IFERROR(VLOOKUP(B995,FLOTA!$A:$D,4,0)&amp;" — "&amp;VLOOKUP(B995,FLOTA!$A:$D,3,0),IFERROR(VLOOKUP(B995,'FLOTA TERCEROS'!$A:$D,4,0)&amp;" — "&amp;VLOOKUP(B995,'FLOTA TERCEROS'!$A:$D,3,0),"⚠ No encontrado")))</f>
        <v/>
      </c>
      <c r="D995" s="38"/>
      <c r="E995" s="39"/>
      <c r="F995" s="28"/>
      <c r="G995" s="40"/>
    </row>
    <row r="996" spans="1:7">
      <c r="A996" s="36"/>
      <c r="B996" s="37"/>
      <c r="C996" s="25" t="str">
        <f>IF(B996="","",IFERROR(VLOOKUP(B996,FLOTA!$A:$D,4,0)&amp;" — "&amp;VLOOKUP(B996,FLOTA!$A:$D,3,0),IFERROR(VLOOKUP(B996,'FLOTA TERCEROS'!$A:$D,4,0)&amp;" — "&amp;VLOOKUP(B996,'FLOTA TERCEROS'!$A:$D,3,0),"⚠ No encontrado")))</f>
        <v/>
      </c>
      <c r="D996" s="38"/>
      <c r="E996" s="39"/>
      <c r="F996" s="28"/>
      <c r="G996" s="40"/>
    </row>
    <row r="997" spans="1:7">
      <c r="A997" s="36"/>
      <c r="B997" s="37"/>
      <c r="C997" s="25" t="str">
        <f>IF(B997="","",IFERROR(VLOOKUP(B997,FLOTA!$A:$D,4,0)&amp;" — "&amp;VLOOKUP(B997,FLOTA!$A:$D,3,0),IFERROR(VLOOKUP(B997,'FLOTA TERCEROS'!$A:$D,4,0)&amp;" — "&amp;VLOOKUP(B997,'FLOTA TERCEROS'!$A:$D,3,0),"⚠ No encontrado")))</f>
        <v/>
      </c>
      <c r="D997" s="38"/>
      <c r="E997" s="39"/>
      <c r="F997" s="28"/>
      <c r="G997" s="40"/>
    </row>
    <row r="998" spans="1:7">
      <c r="A998" s="36"/>
      <c r="B998" s="37"/>
      <c r="C998" s="25" t="str">
        <f>IF(B998="","",IFERROR(VLOOKUP(B998,FLOTA!$A:$D,4,0)&amp;" — "&amp;VLOOKUP(B998,FLOTA!$A:$D,3,0),IFERROR(VLOOKUP(B998,'FLOTA TERCEROS'!$A:$D,4,0)&amp;" — "&amp;VLOOKUP(B998,'FLOTA TERCEROS'!$A:$D,3,0),"⚠ No encontrado")))</f>
        <v/>
      </c>
      <c r="D998" s="38"/>
      <c r="E998" s="39"/>
      <c r="F998" s="28"/>
      <c r="G998" s="40"/>
    </row>
    <row r="999" spans="1:7">
      <c r="A999" s="36"/>
      <c r="B999" s="37"/>
      <c r="C999" s="25" t="str">
        <f>IF(B999="","",IFERROR(VLOOKUP(B999,FLOTA!$A:$D,4,0)&amp;" — "&amp;VLOOKUP(B999,FLOTA!$A:$D,3,0),IFERROR(VLOOKUP(B999,'FLOTA TERCEROS'!$A:$D,4,0)&amp;" — "&amp;VLOOKUP(B999,'FLOTA TERCEROS'!$A:$D,3,0),"⚠ No encontrado")))</f>
        <v/>
      </c>
      <c r="D999" s="38"/>
      <c r="E999" s="39"/>
      <c r="F999" s="28"/>
      <c r="G999" s="40"/>
    </row>
    <row r="1000" spans="1:7">
      <c r="A1000" s="36"/>
      <c r="B1000" s="37"/>
      <c r="C1000" s="25" t="str">
        <f>IF(B1000="","",IFERROR(VLOOKUP(B1000,FLOTA!$A:$D,4,0)&amp;" — "&amp;VLOOKUP(B1000,FLOTA!$A:$D,3,0),IFERROR(VLOOKUP(B1000,'FLOTA TERCEROS'!$A:$D,4,0)&amp;" — "&amp;VLOOKUP(B1000,'FLOTA TERCEROS'!$A:$D,3,0),"⚠ No encontrado")))</f>
        <v/>
      </c>
      <c r="D1000" s="38"/>
      <c r="E1000" s="39"/>
      <c r="F1000" s="28"/>
      <c r="G1000" s="40"/>
    </row>
    <row r="1001" spans="1:7">
      <c r="A1001" s="36"/>
      <c r="B1001" s="37"/>
      <c r="C1001" s="25" t="str">
        <f>IF(B1001="","",IFERROR(VLOOKUP(B1001,FLOTA!$A:$D,4,0)&amp;" — "&amp;VLOOKUP(B1001,FLOTA!$A:$D,3,0),IFERROR(VLOOKUP(B1001,'FLOTA TERCEROS'!$A:$D,4,0)&amp;" — "&amp;VLOOKUP(B1001,'FLOTA TERCEROS'!$A:$D,3,0),"⚠ No encontrado")))</f>
        <v/>
      </c>
      <c r="D1001" s="38"/>
      <c r="E1001" s="39"/>
      <c r="F1001" s="28"/>
      <c r="G1001" s="40"/>
    </row>
    <row r="1002" spans="1:7">
      <c r="A1002" s="36"/>
      <c r="B1002" s="37"/>
      <c r="C1002" s="25" t="str">
        <f>IF(B1002="","",IFERROR(VLOOKUP(B1002,FLOTA!$A:$D,4,0)&amp;" — "&amp;VLOOKUP(B1002,FLOTA!$A:$D,3,0),IFERROR(VLOOKUP(B1002,'FLOTA TERCEROS'!$A:$D,4,0)&amp;" — "&amp;VLOOKUP(B1002,'FLOTA TERCEROS'!$A:$D,3,0),"⚠ No encontrado")))</f>
        <v/>
      </c>
      <c r="D1002" s="38"/>
      <c r="E1002" s="39"/>
      <c r="F1002" s="28"/>
      <c r="G1002" s="40"/>
    </row>
    <row r="1003" spans="1:7">
      <c r="A1003" s="36"/>
      <c r="B1003" s="37"/>
      <c r="C1003" s="25" t="str">
        <f>IF(B1003="","",IFERROR(VLOOKUP(B1003,FLOTA!$A:$D,4,0)&amp;" — "&amp;VLOOKUP(B1003,FLOTA!$A:$D,3,0),IFERROR(VLOOKUP(B1003,'FLOTA TERCEROS'!$A:$D,4,0)&amp;" — "&amp;VLOOKUP(B1003,'FLOTA TERCEROS'!$A:$D,3,0),"⚠ No encontrado")))</f>
        <v/>
      </c>
      <c r="D1003" s="38"/>
      <c r="E1003" s="39"/>
      <c r="F1003" s="28"/>
      <c r="G1003" s="40"/>
    </row>
    <row r="1004" spans="1:7">
      <c r="A1004" s="36"/>
      <c r="B1004" s="37"/>
      <c r="C1004" s="25" t="str">
        <f>IF(B1004="","",IFERROR(VLOOKUP(B1004,FLOTA!$A:$D,4,0)&amp;" — "&amp;VLOOKUP(B1004,FLOTA!$A:$D,3,0),IFERROR(VLOOKUP(B1004,'FLOTA TERCEROS'!$A:$D,4,0)&amp;" — "&amp;VLOOKUP(B1004,'FLOTA TERCEROS'!$A:$D,3,0),"⚠ No encontrado")))</f>
        <v/>
      </c>
      <c r="D1004" s="38"/>
      <c r="E1004" s="39"/>
      <c r="F1004" s="28"/>
      <c r="G1004" s="40"/>
    </row>
    <row r="1005" spans="1:7">
      <c r="A1005" s="36"/>
      <c r="B1005" s="37"/>
      <c r="C1005" s="25" t="str">
        <f>IF(B1005="","",IFERROR(VLOOKUP(B1005,FLOTA!$A:$D,4,0)&amp;" — "&amp;VLOOKUP(B1005,FLOTA!$A:$D,3,0),IFERROR(VLOOKUP(B1005,'FLOTA TERCEROS'!$A:$D,4,0)&amp;" — "&amp;VLOOKUP(B1005,'FLOTA TERCEROS'!$A:$D,3,0),"⚠ No encontrado")))</f>
        <v/>
      </c>
      <c r="D1005" s="38"/>
      <c r="E1005" s="39"/>
      <c r="F1005" s="28"/>
      <c r="G1005" s="40"/>
    </row>
    <row r="1006" spans="1:7">
      <c r="A1006" s="36"/>
      <c r="B1006" s="37"/>
      <c r="C1006" s="25" t="str">
        <f>IF(B1006="","",IFERROR(VLOOKUP(B1006,FLOTA!$A:$D,4,0)&amp;" — "&amp;VLOOKUP(B1006,FLOTA!$A:$D,3,0),IFERROR(VLOOKUP(B1006,'FLOTA TERCEROS'!$A:$D,4,0)&amp;" — "&amp;VLOOKUP(B1006,'FLOTA TERCEROS'!$A:$D,3,0),"⚠ No encontrado")))</f>
        <v/>
      </c>
      <c r="D1006" s="38"/>
      <c r="E1006" s="39"/>
      <c r="F1006" s="28"/>
      <c r="G1006" s="40"/>
    </row>
    <row r="1007" spans="1:7">
      <c r="A1007" s="36"/>
      <c r="B1007" s="37"/>
      <c r="C1007" s="25" t="str">
        <f>IF(B1007="","",IFERROR(VLOOKUP(B1007,FLOTA!$A:$D,4,0)&amp;" — "&amp;VLOOKUP(B1007,FLOTA!$A:$D,3,0),IFERROR(VLOOKUP(B1007,'FLOTA TERCEROS'!$A:$D,4,0)&amp;" — "&amp;VLOOKUP(B1007,'FLOTA TERCEROS'!$A:$D,3,0),"⚠ No encontrado")))</f>
        <v/>
      </c>
      <c r="D1007" s="38"/>
      <c r="E1007" s="39"/>
      <c r="F1007" s="28"/>
      <c r="G1007" s="40"/>
    </row>
    <row r="1008" spans="1:7">
      <c r="A1008" s="36"/>
      <c r="B1008" s="37"/>
      <c r="C1008" s="25" t="str">
        <f>IF(B1008="","",IFERROR(VLOOKUP(B1008,FLOTA!$A:$D,4,0)&amp;" — "&amp;VLOOKUP(B1008,FLOTA!$A:$D,3,0),IFERROR(VLOOKUP(B1008,'FLOTA TERCEROS'!$A:$D,4,0)&amp;" — "&amp;VLOOKUP(B1008,'FLOTA TERCEROS'!$A:$D,3,0),"⚠ No encontrado")))</f>
        <v/>
      </c>
      <c r="D1008" s="38"/>
      <c r="E1008" s="39"/>
      <c r="F1008" s="28"/>
      <c r="G1008" s="40"/>
    </row>
    <row r="1009" spans="1:7">
      <c r="A1009" s="36"/>
      <c r="B1009" s="37"/>
      <c r="C1009" s="25" t="str">
        <f>IF(B1009="","",IFERROR(VLOOKUP(B1009,FLOTA!$A:$D,4,0)&amp;" — "&amp;VLOOKUP(B1009,FLOTA!$A:$D,3,0),IFERROR(VLOOKUP(B1009,'FLOTA TERCEROS'!$A:$D,4,0)&amp;" — "&amp;VLOOKUP(B1009,'FLOTA TERCEROS'!$A:$D,3,0),"⚠ No encontrado")))</f>
        <v/>
      </c>
      <c r="D1009" s="38"/>
      <c r="E1009" s="39"/>
      <c r="F1009" s="28"/>
      <c r="G1009" s="40"/>
    </row>
    <row r="1010" spans="1:7">
      <c r="A1010" s="36"/>
      <c r="B1010" s="37"/>
      <c r="C1010" s="25" t="str">
        <f>IF(B1010="","",IFERROR(VLOOKUP(B1010,FLOTA!$A:$D,4,0)&amp;" — "&amp;VLOOKUP(B1010,FLOTA!$A:$D,3,0),IFERROR(VLOOKUP(B1010,'FLOTA TERCEROS'!$A:$D,4,0)&amp;" — "&amp;VLOOKUP(B1010,'FLOTA TERCEROS'!$A:$D,3,0),"⚠ No encontrado")))</f>
        <v/>
      </c>
      <c r="D1010" s="38"/>
      <c r="E1010" s="39"/>
      <c r="F1010" s="28"/>
      <c r="G1010" s="40"/>
    </row>
    <row r="1011" spans="1:7">
      <c r="A1011" s="36"/>
      <c r="B1011" s="37"/>
      <c r="C1011" s="25" t="str">
        <f>IF(B1011="","",IFERROR(VLOOKUP(B1011,FLOTA!$A:$D,4,0)&amp;" — "&amp;VLOOKUP(B1011,FLOTA!$A:$D,3,0),IFERROR(VLOOKUP(B1011,'FLOTA TERCEROS'!$A:$D,4,0)&amp;" — "&amp;VLOOKUP(B1011,'FLOTA TERCEROS'!$A:$D,3,0),"⚠ No encontrado")))</f>
        <v/>
      </c>
      <c r="D1011" s="38"/>
      <c r="E1011" s="39"/>
      <c r="F1011" s="28"/>
      <c r="G1011" s="40"/>
    </row>
    <row r="1012" spans="1:7">
      <c r="A1012" s="36"/>
      <c r="B1012" s="37"/>
      <c r="C1012" s="25" t="str">
        <f>IF(B1012="","",IFERROR(VLOOKUP(B1012,FLOTA!$A:$D,4,0)&amp;" — "&amp;VLOOKUP(B1012,FLOTA!$A:$D,3,0),IFERROR(VLOOKUP(B1012,'FLOTA TERCEROS'!$A:$D,4,0)&amp;" — "&amp;VLOOKUP(B1012,'FLOTA TERCEROS'!$A:$D,3,0),"⚠ No encontrado")))</f>
        <v/>
      </c>
      <c r="D1012" s="38"/>
      <c r="E1012" s="39"/>
      <c r="F1012" s="28"/>
      <c r="G1012" s="40"/>
    </row>
    <row r="1013" spans="1:7">
      <c r="A1013" s="36"/>
      <c r="B1013" s="37"/>
      <c r="C1013" s="25" t="str">
        <f>IF(B1013="","",IFERROR(VLOOKUP(B1013,FLOTA!$A:$D,4,0)&amp;" — "&amp;VLOOKUP(B1013,FLOTA!$A:$D,3,0),IFERROR(VLOOKUP(B1013,'FLOTA TERCEROS'!$A:$D,4,0)&amp;" — "&amp;VLOOKUP(B1013,'FLOTA TERCEROS'!$A:$D,3,0),"⚠ No encontrado")))</f>
        <v/>
      </c>
      <c r="D1013" s="38"/>
      <c r="E1013" s="39"/>
      <c r="F1013" s="28"/>
      <c r="G1013" s="40"/>
    </row>
    <row r="1014" spans="1:7">
      <c r="A1014" s="36"/>
      <c r="B1014" s="37"/>
      <c r="C1014" s="25" t="str">
        <f>IF(B1014="","",IFERROR(VLOOKUP(B1014,FLOTA!$A:$D,4,0)&amp;" — "&amp;VLOOKUP(B1014,FLOTA!$A:$D,3,0),IFERROR(VLOOKUP(B1014,'FLOTA TERCEROS'!$A:$D,4,0)&amp;" — "&amp;VLOOKUP(B1014,'FLOTA TERCEROS'!$A:$D,3,0),"⚠ No encontrado")))</f>
        <v/>
      </c>
      <c r="D1014" s="38"/>
      <c r="E1014" s="39"/>
      <c r="F1014" s="28"/>
      <c r="G1014" s="40"/>
    </row>
    <row r="1015" spans="1:7">
      <c r="A1015" s="36"/>
      <c r="B1015" s="37"/>
      <c r="C1015" s="25" t="str">
        <f>IF(B1015="","",IFERROR(VLOOKUP(B1015,FLOTA!$A:$D,4,0)&amp;" — "&amp;VLOOKUP(B1015,FLOTA!$A:$D,3,0),IFERROR(VLOOKUP(B1015,'FLOTA TERCEROS'!$A:$D,4,0)&amp;" — "&amp;VLOOKUP(B1015,'FLOTA TERCEROS'!$A:$D,3,0),"⚠ No encontrado")))</f>
        <v/>
      </c>
      <c r="D1015" s="38"/>
      <c r="E1015" s="39"/>
      <c r="F1015" s="28"/>
      <c r="G1015" s="40"/>
    </row>
    <row r="1016" spans="1:7">
      <c r="A1016" s="36"/>
      <c r="B1016" s="37"/>
      <c r="C1016" s="25" t="str">
        <f>IF(B1016="","",IFERROR(VLOOKUP(B1016,FLOTA!$A:$D,4,0)&amp;" — "&amp;VLOOKUP(B1016,FLOTA!$A:$D,3,0),IFERROR(VLOOKUP(B1016,'FLOTA TERCEROS'!$A:$D,4,0)&amp;" — "&amp;VLOOKUP(B1016,'FLOTA TERCEROS'!$A:$D,3,0),"⚠ No encontrado")))</f>
        <v/>
      </c>
      <c r="D1016" s="38"/>
      <c r="E1016" s="39"/>
      <c r="F1016" s="28"/>
      <c r="G1016" s="40"/>
    </row>
    <row r="1017" spans="1:7">
      <c r="A1017" s="36"/>
      <c r="B1017" s="37"/>
      <c r="C1017" s="25" t="str">
        <f>IF(B1017="","",IFERROR(VLOOKUP(B1017,FLOTA!$A:$D,4,0)&amp;" — "&amp;VLOOKUP(B1017,FLOTA!$A:$D,3,0),IFERROR(VLOOKUP(B1017,'FLOTA TERCEROS'!$A:$D,4,0)&amp;" — "&amp;VLOOKUP(B1017,'FLOTA TERCEROS'!$A:$D,3,0),"⚠ No encontrado")))</f>
        <v/>
      </c>
      <c r="D1017" s="38"/>
      <c r="E1017" s="39"/>
      <c r="F1017" s="28"/>
      <c r="G1017" s="40"/>
    </row>
    <row r="1018" spans="1:7">
      <c r="A1018" s="45"/>
      <c r="B1018" s="46"/>
      <c r="C1018" s="42" t="str">
        <f>IF(B1018="","",IFERROR(VLOOKUP(B1018,FLOTA!$A:$D,4,0)&amp;" — "&amp;VLOOKUP(B1018,FLOTA!$A:$D,3,0),IFERROR(VLOOKUP(B1018,'FLOTA TERCEROS'!$A:$D,4,0)&amp;" — "&amp;VLOOKUP(B1018,'FLOTA TERCEROS'!$A:$D,3,0),"⚠ No encontrado")))</f>
        <v/>
      </c>
      <c r="D1018" s="43"/>
      <c r="E1018" s="44"/>
      <c r="F1018" s="47"/>
      <c r="G1018" s="48"/>
    </row>
    <row r="1048576" spans="1:1">
      <c r="A1048576" s="41"/>
    </row>
  </sheetData>
  <mergeCells count="3">
    <mergeCell ref="A1:G1"/>
    <mergeCell ref="I1:K1"/>
    <mergeCell ref="L1:M1"/>
  </mergeCells>
  <dataValidations count="3">
    <dataValidation type="list" allowBlank="1" promptTitle="Dominio" prompt="Seleccioná la patente del vehículo" sqref="J1 B699 B715:B1684" xr:uid="{00000000-0002-0000-0300-000000000000}">
      <formula1>"NZU308,OFB802,GHQ969,AA757OT,AC442VH,MPR852,AA932XX,PKF116,AD755DX,AG164FA,AG164FB,AG164EZ,AD209YG,NAS148,AC777AA,AA757MH"</formula1>
      <formula2>0</formula2>
    </dataValidation>
    <dataValidation type="list" allowBlank="1" promptTitle="Dominio" prompt="Seleccioná la patente del vehículo" sqref="B700:B714 B3:B698" xr:uid="{FBE0F1C5-48EB-4C2D-8AE5-01307A7D4B44}">
      <formula1>"NZU 308;OFB 802;GHQ 969;AA 757 OT;AC 442 VH;MPR 852;AA 932 XX;PKF 116;AD 755 DX;AG 164 FA;AG 164 FB;AG 164 EZ;AD 209 YG;NAS 148;AC 777 AA;AA 757 MH"</formula1>
    </dataValidation>
    <dataValidation type="list" allowBlank="1" showInputMessage="1" showErrorMessage="1" sqref="F3:F1018" xr:uid="{D2E01E10-CFEF-4FFB-9AE4-E57D4CFBD121}">
      <formula1>$Q$4:$Q$27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CB043"/>
  </sheetPr>
  <dimension ref="A1:P106"/>
  <sheetViews>
    <sheetView showGridLines="0" tabSelected="1" zoomScaleNormal="100" workbookViewId="0">
      <pane xSplit="2" ySplit="3" topLeftCell="C69" activePane="bottomRight" state="frozen"/>
      <selection pane="bottomRight" activeCell="E81" sqref="E81"/>
      <selection pane="bottomLeft" activeCell="A3" sqref="A3"/>
      <selection pane="topRight" activeCell="C1" sqref="C1"/>
    </sheetView>
  </sheetViews>
  <sheetFormatPr defaultColWidth="8.7109375" defaultRowHeight="15"/>
  <cols>
    <col min="1" max="1" width="12.140625" customWidth="1"/>
    <col min="2" max="2" width="48.85546875" customWidth="1"/>
    <col min="3" max="3" width="13.42578125" customWidth="1"/>
    <col min="4" max="4" width="14" customWidth="1"/>
    <col min="5" max="5" width="49.5703125" customWidth="1"/>
    <col min="6" max="6" width="17" customWidth="1"/>
    <col min="7" max="7" width="18.140625" customWidth="1"/>
    <col min="8" max="8" width="14" customWidth="1"/>
    <col min="9" max="9" width="16" bestFit="1" customWidth="1"/>
    <col min="10" max="10" width="17" customWidth="1"/>
    <col min="11" max="11" width="18.140625" customWidth="1"/>
    <col min="12" max="12" width="14" customWidth="1"/>
    <col min="13" max="13" width="16" bestFit="1" customWidth="1"/>
    <col min="14" max="14" width="41.28515625" customWidth="1"/>
  </cols>
  <sheetData>
    <row r="1" spans="1:16" ht="39.75" customHeight="1">
      <c r="A1" s="54" t="s">
        <v>146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6" ht="31.5" customHeight="1">
      <c r="A2" s="17" t="s">
        <v>1</v>
      </c>
      <c r="B2" s="18" t="s">
        <v>104</v>
      </c>
      <c r="C2" s="18" t="s">
        <v>102</v>
      </c>
      <c r="D2" s="18" t="s">
        <v>147</v>
      </c>
      <c r="E2" s="18" t="s">
        <v>148</v>
      </c>
      <c r="F2" s="18" t="s">
        <v>149</v>
      </c>
      <c r="G2" s="18" t="s">
        <v>150</v>
      </c>
      <c r="H2" s="18" t="s">
        <v>151</v>
      </c>
      <c r="I2" s="18" t="s">
        <v>152</v>
      </c>
      <c r="J2" s="18" t="s">
        <v>153</v>
      </c>
      <c r="K2" s="18" t="s">
        <v>154</v>
      </c>
      <c r="L2" s="18" t="s">
        <v>155</v>
      </c>
      <c r="M2" s="18" t="s">
        <v>156</v>
      </c>
      <c r="N2" s="19" t="s">
        <v>157</v>
      </c>
      <c r="P2" s="13" t="s">
        <v>158</v>
      </c>
    </row>
    <row r="3" spans="1:16" ht="19.5" customHeight="1">
      <c r="A3" s="24" t="s">
        <v>32</v>
      </c>
      <c r="B3" s="33" t="str">
        <f>IF(A3="","",IFERROR(VLOOKUP(A3,FLOTA!$A:$M,4,0)&amp;" "&amp;VLOOKUP(A3,FLOTA!$A:$M,3,0),"⚠ Patente no encontrada"))</f>
        <v>PRADO LAND CRUISER TOYOTA</v>
      </c>
      <c r="C3" s="26">
        <v>46078</v>
      </c>
      <c r="D3" s="27" t="s">
        <v>159</v>
      </c>
      <c r="E3" s="28" t="s">
        <v>160</v>
      </c>
      <c r="F3" s="28"/>
      <c r="G3" s="29"/>
      <c r="H3" s="29"/>
      <c r="I3" s="34" t="str">
        <f>IF(AND(G3="",H3=""),"",IF(G3="",H3,IF(H3="",G3,H3+G3)))</f>
        <v/>
      </c>
      <c r="J3" s="28"/>
      <c r="K3" s="29"/>
      <c r="L3" s="29"/>
      <c r="M3" s="34" t="str">
        <f>IF(AND(K3="",L3=""),"",IF(L3="",K3,IF(K3="",L3,K3+L3)))</f>
        <v/>
      </c>
      <c r="N3" s="30"/>
    </row>
    <row r="4" spans="1:16" ht="19.5" customHeight="1">
      <c r="A4" s="24" t="s">
        <v>32</v>
      </c>
      <c r="B4" s="33" t="str">
        <f>IF(A4="","",IFERROR(VLOOKUP(A4,FLOTA!$A:$M,4,0)&amp;" "&amp;VLOOKUP(A4,FLOTA!$A:$M,3,0),"⚠ Patente no encontrada"))</f>
        <v>PRADO LAND CRUISER TOYOTA</v>
      </c>
      <c r="C4" s="26">
        <v>46078</v>
      </c>
      <c r="D4" s="27" t="s">
        <v>159</v>
      </c>
      <c r="E4" s="28" t="s">
        <v>161</v>
      </c>
      <c r="F4" s="28"/>
      <c r="G4" s="31"/>
      <c r="H4" s="29"/>
      <c r="I4" s="34" t="str">
        <f>IF(AND(G4="",H4=""),"",IF(G4="",H4,IF(H4="",G4,H4+G4)))</f>
        <v/>
      </c>
      <c r="J4" s="28"/>
      <c r="K4" s="31"/>
      <c r="L4" s="29"/>
      <c r="M4" s="34" t="str">
        <f>IF(AND(K4="",L4=""),"",IF(L4="",K4,IF(K4="",L4,K4+L4)))</f>
        <v/>
      </c>
      <c r="N4" s="30"/>
    </row>
    <row r="5" spans="1:16" ht="19.5" customHeight="1">
      <c r="A5" s="24" t="s">
        <v>32</v>
      </c>
      <c r="B5" s="33" t="str">
        <f>IF(A5="","",IFERROR(VLOOKUP(A5,FLOTA!$A:$M,4,0)&amp;" "&amp;VLOOKUP(A5,FLOTA!$A:$M,3,0),"⚠ Patente no encontrada"))</f>
        <v>PRADO LAND CRUISER TOYOTA</v>
      </c>
      <c r="C5" s="26">
        <v>46078</v>
      </c>
      <c r="D5" s="27" t="s">
        <v>159</v>
      </c>
      <c r="E5" s="28" t="s">
        <v>162</v>
      </c>
      <c r="F5" s="28"/>
      <c r="G5" s="31"/>
      <c r="H5" s="29"/>
      <c r="I5" s="34" t="str">
        <f>IF(AND(G5="",H5=""),"",IF(G5="",H5,IF(H5="",G5,H5+G5)))</f>
        <v/>
      </c>
      <c r="J5" s="28"/>
      <c r="K5" s="31"/>
      <c r="L5" s="29"/>
      <c r="M5" s="34" t="str">
        <f>IF(AND(K5="",L5=""),"",IF(L5="",K5,IF(K5="",L5,K5+L5)))</f>
        <v/>
      </c>
      <c r="N5" s="30"/>
    </row>
    <row r="6" spans="1:16" ht="19.5" customHeight="1">
      <c r="A6" s="24" t="s">
        <v>32</v>
      </c>
      <c r="B6" s="33" t="str">
        <f>IF(A6="","",IFERROR(VLOOKUP(A6,FLOTA!$A:$M,4,0)&amp;" "&amp;VLOOKUP(A6,FLOTA!$A:$M,3,0),"⚠ Patente no encontrada"))</f>
        <v>PRADO LAND CRUISER TOYOTA</v>
      </c>
      <c r="C6" s="26">
        <v>46078</v>
      </c>
      <c r="D6" s="27" t="s">
        <v>159</v>
      </c>
      <c r="E6" s="28" t="s">
        <v>163</v>
      </c>
      <c r="F6" s="28"/>
      <c r="G6" s="29"/>
      <c r="H6" s="29"/>
      <c r="I6" s="34" t="str">
        <f>IF(AND(G6="",H6=""),"",IF(G6="",H6,IF(H6="",G6,H6+G6)))</f>
        <v/>
      </c>
      <c r="J6" s="28"/>
      <c r="K6" s="29"/>
      <c r="L6" s="29"/>
      <c r="M6" s="34" t="str">
        <f>IF(AND(K6="",L6=""),"",IF(L6="",K6,IF(K6="",L6,K6+L6)))</f>
        <v/>
      </c>
      <c r="N6" s="30"/>
    </row>
    <row r="7" spans="1:16" ht="19.5" customHeight="1">
      <c r="A7" s="24" t="s">
        <v>32</v>
      </c>
      <c r="B7" s="33" t="str">
        <f>IF(A7="","",IFERROR(VLOOKUP(A7,FLOTA!$A:$M,4,0)&amp;" "&amp;VLOOKUP(A7,FLOTA!$A:$M,3,0),"⚠ Patente no encontrada"))</f>
        <v>PRADO LAND CRUISER TOYOTA</v>
      </c>
      <c r="C7" s="26">
        <v>46078</v>
      </c>
      <c r="D7" s="27" t="s">
        <v>159</v>
      </c>
      <c r="E7" s="28" t="s">
        <v>164</v>
      </c>
      <c r="F7" s="28"/>
      <c r="G7" s="29"/>
      <c r="H7" s="29"/>
      <c r="I7" s="34" t="str">
        <f>IF(AND(G7="",H7=""),"",IF(G7="",H7,IF(H7="",G7,H7+G7)))</f>
        <v/>
      </c>
      <c r="J7" s="28"/>
      <c r="K7" s="29"/>
      <c r="L7" s="29"/>
      <c r="M7" s="34" t="str">
        <f>IF(AND(K7="",L7=""),"",IF(L7="",K7,IF(K7="",L7,K7+L7)))</f>
        <v/>
      </c>
      <c r="N7" s="30"/>
    </row>
    <row r="8" spans="1:16" ht="19.5" customHeight="1">
      <c r="A8" s="24" t="s">
        <v>32</v>
      </c>
      <c r="B8" s="33" t="str">
        <f>IF(A8="","",IFERROR(VLOOKUP(A8,FLOTA!$A:$M,4,0)&amp;" "&amp;VLOOKUP(A8,FLOTA!$A:$M,3,0),"⚠ Patente no encontrada"))</f>
        <v>PRADO LAND CRUISER TOYOTA</v>
      </c>
      <c r="C8" s="26">
        <v>46078</v>
      </c>
      <c r="D8" s="27" t="s">
        <v>159</v>
      </c>
      <c r="E8" s="28" t="s">
        <v>165</v>
      </c>
      <c r="F8" s="28"/>
      <c r="G8" s="29"/>
      <c r="H8" s="29"/>
      <c r="I8" s="34" t="str">
        <f>IF(AND(G8="",H8=""),"",IF(G8="",H8,IF(H8="",G8,H8+G8)))</f>
        <v/>
      </c>
      <c r="J8" s="28"/>
      <c r="K8" s="29"/>
      <c r="L8" s="29"/>
      <c r="M8" s="34" t="str">
        <f>IF(AND(K8="",L8=""),"",IF(L8="",K8,IF(K8="",L8,K8+L8)))</f>
        <v/>
      </c>
      <c r="N8" s="30"/>
    </row>
    <row r="9" spans="1:16" ht="19.5" customHeight="1">
      <c r="A9" s="24" t="s">
        <v>32</v>
      </c>
      <c r="B9" s="33" t="str">
        <f>IF(A9="","",IFERROR(VLOOKUP(A9,FLOTA!$A:$M,4,0)&amp;" "&amp;VLOOKUP(A9,FLOTA!$A:$M,3,0),"⚠ Patente no encontrada"))</f>
        <v>PRADO LAND CRUISER TOYOTA</v>
      </c>
      <c r="C9" s="26">
        <v>46078</v>
      </c>
      <c r="D9" s="27" t="s">
        <v>159</v>
      </c>
      <c r="E9" s="28" t="s">
        <v>166</v>
      </c>
      <c r="F9" s="28"/>
      <c r="G9" s="29"/>
      <c r="H9" s="29"/>
      <c r="I9" s="34" t="str">
        <f>IF(AND(G9="",H9=""),"",IF(G9="",H9,IF(H9="",G9,H9+G9)))</f>
        <v/>
      </c>
      <c r="J9" s="28"/>
      <c r="K9" s="29"/>
      <c r="L9" s="29"/>
      <c r="M9" s="34" t="str">
        <f>IF(AND(K9="",L9=""),"",IF(L9="",K9,IF(K9="",L9,K9+L9)))</f>
        <v/>
      </c>
      <c r="N9" s="30"/>
    </row>
    <row r="10" spans="1:16" ht="19.5" customHeight="1">
      <c r="A10" s="24" t="s">
        <v>32</v>
      </c>
      <c r="B10" s="33" t="str">
        <f>IF(A10="","",IFERROR(VLOOKUP(A10,FLOTA!$A:$M,4,0)&amp;" "&amp;VLOOKUP(A10,FLOTA!$A:$M,3,0),"⚠ Patente no encontrada"))</f>
        <v>PRADO LAND CRUISER TOYOTA</v>
      </c>
      <c r="C10" s="26">
        <v>46078</v>
      </c>
      <c r="D10" s="27" t="s">
        <v>159</v>
      </c>
      <c r="E10" s="28" t="s">
        <v>167</v>
      </c>
      <c r="F10" s="28"/>
      <c r="G10" s="29"/>
      <c r="H10" s="29"/>
      <c r="I10" s="34" t="str">
        <f>IF(AND(G10="",H10=""),"",IF(G10="",H10,IF(H10="",G10,H10+G10)))</f>
        <v/>
      </c>
      <c r="J10" s="28"/>
      <c r="K10" s="29"/>
      <c r="L10" s="29"/>
      <c r="M10" s="34" t="str">
        <f>IF(AND(K10="",L10=""),"",IF(L10="",K10,IF(K10="",L10,K10+L10)))</f>
        <v/>
      </c>
      <c r="N10" s="30"/>
    </row>
    <row r="11" spans="1:16" ht="19.5" customHeight="1">
      <c r="A11" s="24" t="s">
        <v>32</v>
      </c>
      <c r="B11" s="33" t="str">
        <f>IF(A11="","",IFERROR(VLOOKUP(A11,FLOTA!$A:$M,4,0)&amp;" "&amp;VLOOKUP(A11,FLOTA!$A:$M,3,0),"⚠ Patente no encontrada"))</f>
        <v>PRADO LAND CRUISER TOYOTA</v>
      </c>
      <c r="C11" s="26">
        <v>46078</v>
      </c>
      <c r="D11" s="27" t="s">
        <v>159</v>
      </c>
      <c r="E11" s="28" t="s">
        <v>168</v>
      </c>
      <c r="F11" s="28"/>
      <c r="G11" s="29"/>
      <c r="H11" s="29"/>
      <c r="I11" s="34" t="str">
        <f>IF(AND(G11="",H11=""),"",IF(G11="",H11,IF(H11="",G11,H11+G11)))</f>
        <v/>
      </c>
      <c r="J11" s="28"/>
      <c r="K11" s="29"/>
      <c r="L11" s="29"/>
      <c r="M11" s="34" t="str">
        <f>IF(AND(K11="",L11=""),"",IF(L11="",K11,IF(K11="",L11,K11+L11)))</f>
        <v/>
      </c>
      <c r="N11" s="30"/>
    </row>
    <row r="12" spans="1:16" ht="19.5" customHeight="1">
      <c r="A12" s="24" t="s">
        <v>32</v>
      </c>
      <c r="B12" s="33" t="str">
        <f>IF(A12="","",IFERROR(VLOOKUP(A12,FLOTA!$A:$M,4,0)&amp;" "&amp;VLOOKUP(A12,FLOTA!$A:$M,3,0),"⚠ Patente no encontrada"))</f>
        <v>PRADO LAND CRUISER TOYOTA</v>
      </c>
      <c r="C12" s="26">
        <v>46078</v>
      </c>
      <c r="D12" s="27" t="s">
        <v>159</v>
      </c>
      <c r="E12" s="28" t="s">
        <v>169</v>
      </c>
      <c r="F12" s="28"/>
      <c r="G12" s="29"/>
      <c r="H12" s="29"/>
      <c r="I12" s="34" t="str">
        <f>IF(AND(G12="",H12=""),"",IF(G12="",H12,IF(H12="",G12,H12+G12)))</f>
        <v/>
      </c>
      <c r="J12" s="28"/>
      <c r="K12" s="29"/>
      <c r="L12" s="29"/>
      <c r="M12" s="34"/>
      <c r="N12" s="30"/>
    </row>
    <row r="13" spans="1:16" ht="19.5" customHeight="1">
      <c r="A13" s="24" t="s">
        <v>70</v>
      </c>
      <c r="B13" s="33" t="str">
        <f>IF(A13="","",IFERROR(VLOOKUP(A13,FLOTA!$A:$M,4,0)&amp;" "&amp;VLOOKUP(A13,FLOTA!$A:$M,3,0),"⚠ Patente no encontrada"))</f>
        <v>TORO FIAT</v>
      </c>
      <c r="C13" s="26">
        <v>46078</v>
      </c>
      <c r="D13" s="27" t="s">
        <v>159</v>
      </c>
      <c r="E13" s="28" t="s">
        <v>160</v>
      </c>
      <c r="F13" s="28"/>
      <c r="G13" s="29"/>
      <c r="H13" s="29"/>
      <c r="I13" s="34" t="str">
        <f>IF(AND(G13="",H13=""),"",IF(G13="",H13,IF(H13="",G13,H13+G13)))</f>
        <v/>
      </c>
      <c r="J13" s="28"/>
      <c r="K13" s="29"/>
      <c r="L13" s="29"/>
      <c r="M13" s="34" t="str">
        <f>IF(AND(K13="",L13=""),"",IF(L13="",K13,IF(K13="",L13,K13+L13)))</f>
        <v/>
      </c>
      <c r="N13" s="30"/>
    </row>
    <row r="14" spans="1:16" ht="19.5" customHeight="1">
      <c r="A14" s="24" t="s">
        <v>70</v>
      </c>
      <c r="B14" s="33" t="str">
        <f>IF(A14="","",IFERROR(VLOOKUP(A14,FLOTA!$A:$M,4,0)&amp;" "&amp;VLOOKUP(A14,FLOTA!$A:$M,3,0),"⚠ Patente no encontrada"))</f>
        <v>TORO FIAT</v>
      </c>
      <c r="C14" s="26">
        <v>46078</v>
      </c>
      <c r="D14" s="27" t="s">
        <v>159</v>
      </c>
      <c r="E14" s="28" t="s">
        <v>170</v>
      </c>
      <c r="F14" s="28"/>
      <c r="G14" s="29"/>
      <c r="H14" s="29"/>
      <c r="I14" s="34" t="str">
        <f>IF(AND(G14="",H14=""),"",IF(G14="",H14,IF(H14="",G14,H14+G14)))</f>
        <v/>
      </c>
      <c r="J14" s="28"/>
      <c r="K14" s="29"/>
      <c r="L14" s="29"/>
      <c r="M14" s="34" t="str">
        <f>IF(AND(K14="",L14=""),"",IF(L14="",K14,IF(K14="",L14,K14+L14)))</f>
        <v/>
      </c>
      <c r="N14" s="30"/>
    </row>
    <row r="15" spans="1:16" ht="19.5" customHeight="1">
      <c r="A15" s="24" t="s">
        <v>70</v>
      </c>
      <c r="B15" s="33" t="str">
        <f>IF(A15="","",IFERROR(VLOOKUP(A15,FLOTA!$A:$M,4,0)&amp;" "&amp;VLOOKUP(A15,FLOTA!$A:$M,3,0),"⚠ Patente no encontrada"))</f>
        <v>TORO FIAT</v>
      </c>
      <c r="C15" s="26">
        <v>46078</v>
      </c>
      <c r="D15" s="27" t="s">
        <v>171</v>
      </c>
      <c r="E15" s="28" t="s">
        <v>172</v>
      </c>
      <c r="F15" s="28"/>
      <c r="G15" s="29"/>
      <c r="H15" s="29"/>
      <c r="I15" s="34" t="str">
        <f>IF(AND(G15="",H15=""),"",IF(G15="",H15,IF(H15="",G15,H15+G15)))</f>
        <v/>
      </c>
      <c r="J15" s="28"/>
      <c r="K15" s="29"/>
      <c r="L15" s="29"/>
      <c r="M15" s="34" t="str">
        <f>IF(AND(K15="",L15=""),"",IF(L15="",K15,IF(K15="",L15,K15+L15)))</f>
        <v/>
      </c>
      <c r="N15" s="30"/>
    </row>
    <row r="16" spans="1:16" ht="19.5" customHeight="1">
      <c r="A16" s="24" t="s">
        <v>70</v>
      </c>
      <c r="B16" s="33" t="str">
        <f>IF(A16="","",IFERROR(VLOOKUP(A16,FLOTA!$A:$M,4,0)&amp;" "&amp;VLOOKUP(A16,FLOTA!$A:$M,3,0),"⚠ Patente no encontrada"))</f>
        <v>TORO FIAT</v>
      </c>
      <c r="C16" s="26">
        <v>46078</v>
      </c>
      <c r="D16" s="27" t="s">
        <v>159</v>
      </c>
      <c r="E16" s="28" t="s">
        <v>173</v>
      </c>
      <c r="F16" s="28"/>
      <c r="G16" s="31"/>
      <c r="H16" s="31"/>
      <c r="I16" s="34" t="str">
        <f>IF(AND(G16="",H16=""),"",IF(G16="",H16,IF(H16="",G16,H16+G16)))</f>
        <v/>
      </c>
      <c r="J16" s="28"/>
      <c r="K16" s="29"/>
      <c r="L16" s="29"/>
      <c r="M16" s="34" t="str">
        <f>IF(AND(K16="",L16=""),"",IF(L16="",K16,IF(K16="",L16,K16+L16)))</f>
        <v/>
      </c>
      <c r="N16" s="30"/>
    </row>
    <row r="17" spans="1:14" ht="19.5" customHeight="1">
      <c r="A17" s="24" t="s">
        <v>70</v>
      </c>
      <c r="B17" s="33" t="str">
        <f>IF(A17="","",IFERROR(VLOOKUP(A17,FLOTA!$A:$M,4,0)&amp;" "&amp;VLOOKUP(A17,FLOTA!$A:$M,3,0),"⚠ Patente no encontrada"))</f>
        <v>TORO FIAT</v>
      </c>
      <c r="C17" s="26">
        <v>46078</v>
      </c>
      <c r="D17" s="27" t="s">
        <v>159</v>
      </c>
      <c r="E17" s="28" t="s">
        <v>161</v>
      </c>
      <c r="F17" s="28"/>
      <c r="G17" s="31"/>
      <c r="H17" s="31"/>
      <c r="I17" s="34" t="str">
        <f>IF(AND(G17="",H17=""),"",IF(G17="",H17,IF(H17="",G17,H17+G17)))</f>
        <v/>
      </c>
      <c r="J17" s="28"/>
      <c r="K17" s="29"/>
      <c r="L17" s="29"/>
      <c r="M17" s="34" t="str">
        <f>IF(AND(K17="",L17=""),"",IF(L17="",K17,IF(K17="",L17,K17+L17)))</f>
        <v/>
      </c>
      <c r="N17" s="30"/>
    </row>
    <row r="18" spans="1:14" ht="19.5" customHeight="1">
      <c r="A18" s="24" t="s">
        <v>70</v>
      </c>
      <c r="B18" s="33" t="str">
        <f>IF(A18="","",IFERROR(VLOOKUP(A18,FLOTA!$A:$M,4,0)&amp;" "&amp;VLOOKUP(A18,FLOTA!$A:$M,3,0),"⚠ Patente no encontrada"))</f>
        <v>TORO FIAT</v>
      </c>
      <c r="C18" s="26">
        <v>46078</v>
      </c>
      <c r="D18" s="27" t="s">
        <v>159</v>
      </c>
      <c r="E18" s="28" t="s">
        <v>169</v>
      </c>
      <c r="F18" s="28"/>
      <c r="G18" s="31"/>
      <c r="H18" s="31"/>
      <c r="I18" s="34" t="str">
        <f>IF(AND(G18="",H18=""),"",IF(G18="",H18,IF(H18="",G18,H18+G18)))</f>
        <v/>
      </c>
      <c r="J18" s="28"/>
      <c r="K18" s="29"/>
      <c r="L18" s="29"/>
      <c r="M18" s="34" t="str">
        <f>IF(AND(K18="",L18=""),"",IF(L18="",K18,IF(K18="",L18,K18+L18)))</f>
        <v/>
      </c>
      <c r="N18" s="30"/>
    </row>
    <row r="19" spans="1:14" ht="19.5" customHeight="1">
      <c r="A19" s="24" t="s">
        <v>70</v>
      </c>
      <c r="B19" s="33" t="str">
        <f>IF(A19="","",IFERROR(VLOOKUP(A19,FLOTA!$A:$M,4,0)&amp;" "&amp;VLOOKUP(A19,FLOTA!$A:$M,3,0),"⚠ Patente no encontrada"))</f>
        <v>TORO FIAT</v>
      </c>
      <c r="C19" s="26">
        <v>46078</v>
      </c>
      <c r="D19" s="27" t="s">
        <v>159</v>
      </c>
      <c r="E19" s="28" t="s">
        <v>174</v>
      </c>
      <c r="F19" s="28"/>
      <c r="G19" s="31"/>
      <c r="H19" s="31"/>
      <c r="I19" s="34" t="str">
        <f>IF(AND(G19="",H19=""),"",IF(G19="",H19,IF(H19="",G19,H19+G19)))</f>
        <v/>
      </c>
      <c r="J19" s="28"/>
      <c r="K19" s="29"/>
      <c r="L19" s="29"/>
      <c r="M19" s="34"/>
      <c r="N19" s="30"/>
    </row>
    <row r="20" spans="1:14" ht="19.5" customHeight="1">
      <c r="A20" s="24" t="s">
        <v>58</v>
      </c>
      <c r="B20" s="33" t="str">
        <f>IF(A20="","",IFERROR(VLOOKUP(A20,FLOTA!$A:$M,4,0)&amp;" "&amp;VLOOKUP(A20,FLOTA!$A:$M,3,0),"⚠ Patente no encontrada"))</f>
        <v>SPRINTER 515 CDIC MERCEDES BENZ</v>
      </c>
      <c r="C20" s="26">
        <v>46078</v>
      </c>
      <c r="D20" s="27" t="s">
        <v>159</v>
      </c>
      <c r="E20" s="28" t="s">
        <v>160</v>
      </c>
      <c r="F20" s="28"/>
      <c r="G20" s="31"/>
      <c r="H20" s="31"/>
      <c r="I20" s="34" t="str">
        <f>IF(AND(G20="",H20=""),"",IF(G20="",H20,IF(H20="",G20,H20+G20)))</f>
        <v/>
      </c>
      <c r="J20" s="28"/>
      <c r="K20" s="29"/>
      <c r="L20" s="29"/>
      <c r="M20" s="34" t="str">
        <f>IF(AND(K20="",L20=""),"",IF(L20="",K20,IF(K20="",L20,K20+L20)))</f>
        <v/>
      </c>
      <c r="N20" s="30"/>
    </row>
    <row r="21" spans="1:14" ht="19.5" customHeight="1">
      <c r="A21" s="24" t="s">
        <v>58</v>
      </c>
      <c r="B21" s="33" t="str">
        <f>IF(A21="","",IFERROR(VLOOKUP(A21,FLOTA!$A:$M,4,0)&amp;" "&amp;VLOOKUP(A21,FLOTA!$A:$M,3,0),"⚠ Patente no encontrada"))</f>
        <v>SPRINTER 515 CDIC MERCEDES BENZ</v>
      </c>
      <c r="C21" s="26">
        <v>46078</v>
      </c>
      <c r="D21" s="27" t="s">
        <v>159</v>
      </c>
      <c r="E21" s="28" t="s">
        <v>175</v>
      </c>
      <c r="F21" s="28"/>
      <c r="G21" s="31"/>
      <c r="H21" s="31"/>
      <c r="I21" s="34" t="str">
        <f>IF(AND(G21="",H21=""),"",IF(G21="",H21,IF(H21="",G21,H21+G21)))</f>
        <v/>
      </c>
      <c r="J21" s="28"/>
      <c r="K21" s="29"/>
      <c r="L21" s="29"/>
      <c r="M21" s="34" t="str">
        <f>IF(AND(K21="",L21=""),"",IF(L21="",K21,IF(K21="",L21,K21+L21)))</f>
        <v/>
      </c>
      <c r="N21" s="30"/>
    </row>
    <row r="22" spans="1:14" ht="19.5" customHeight="1">
      <c r="A22" s="24" t="s">
        <v>58</v>
      </c>
      <c r="B22" s="33" t="str">
        <f>IF(A22="","",IFERROR(VLOOKUP(A22,FLOTA!$A:$M,4,0)&amp;" "&amp;VLOOKUP(A22,FLOTA!$A:$M,3,0),"⚠ Patente no encontrada"))</f>
        <v>SPRINTER 515 CDIC MERCEDES BENZ</v>
      </c>
      <c r="C22" s="26">
        <v>46078</v>
      </c>
      <c r="D22" s="27" t="s">
        <v>159</v>
      </c>
      <c r="E22" s="28" t="s">
        <v>176</v>
      </c>
      <c r="F22" s="28"/>
      <c r="G22" s="31"/>
      <c r="H22" s="31"/>
      <c r="I22" s="34" t="str">
        <f>IF(AND(G22="",H22=""),"",IF(G22="",H22,IF(H22="",G22,H22+G22)))</f>
        <v/>
      </c>
      <c r="J22" s="28"/>
      <c r="K22" s="29"/>
      <c r="L22" s="29"/>
      <c r="M22" s="34" t="str">
        <f>IF(AND(K22="",L22=""),"",IF(L22="",K22,IF(K22="",L22,K22+L22)))</f>
        <v/>
      </c>
      <c r="N22" s="30"/>
    </row>
    <row r="23" spans="1:14" ht="19.5" customHeight="1">
      <c r="A23" s="24" t="s">
        <v>58</v>
      </c>
      <c r="B23" s="33" t="str">
        <f>IF(A23="","",IFERROR(VLOOKUP(A23,FLOTA!$A:$M,4,0)&amp;" "&amp;VLOOKUP(A23,FLOTA!$A:$M,3,0),"⚠ Patente no encontrada"))</f>
        <v>SPRINTER 515 CDIC MERCEDES BENZ</v>
      </c>
      <c r="C23" s="26">
        <v>46078</v>
      </c>
      <c r="D23" s="27" t="s">
        <v>159</v>
      </c>
      <c r="E23" s="28" t="s">
        <v>172</v>
      </c>
      <c r="F23" s="28"/>
      <c r="G23" s="31"/>
      <c r="H23" s="31"/>
      <c r="I23" s="34" t="str">
        <f>IF(AND(G23="",H23=""),"",IF(G23="",H23,IF(H23="",G23,H23+G23)))</f>
        <v/>
      </c>
      <c r="J23" s="28"/>
      <c r="K23" s="29"/>
      <c r="L23" s="29"/>
      <c r="M23" s="34" t="str">
        <f>IF(AND(K23="",L23=""),"",IF(L23="",K23,IF(K23="",L23,K23+L23)))</f>
        <v/>
      </c>
      <c r="N23" s="30"/>
    </row>
    <row r="24" spans="1:14" ht="19.5" customHeight="1">
      <c r="A24" s="24" t="s">
        <v>58</v>
      </c>
      <c r="B24" s="33" t="str">
        <f>IF(A24="","",IFERROR(VLOOKUP(A24,FLOTA!$A:$M,4,0)&amp;" "&amp;VLOOKUP(A24,FLOTA!$A:$M,3,0),"⚠ Patente no encontrada"))</f>
        <v>SPRINTER 515 CDIC MERCEDES BENZ</v>
      </c>
      <c r="C24" s="26">
        <v>46078</v>
      </c>
      <c r="D24" s="27" t="s">
        <v>159</v>
      </c>
      <c r="E24" s="28" t="s">
        <v>169</v>
      </c>
      <c r="F24" s="28"/>
      <c r="G24" s="31"/>
      <c r="H24" s="31"/>
      <c r="I24" s="34" t="str">
        <f>IF(AND(G24="",H24=""),"",IF(G24="",H24,IF(H24="",G24,H24+G24)))</f>
        <v/>
      </c>
      <c r="J24" s="28"/>
      <c r="K24" s="29"/>
      <c r="L24" s="29"/>
      <c r="M24" s="34" t="str">
        <f>IF(AND(K24="",L24=""),"",IF(L24="",K24,IF(K24="",L24,K24+L24)))</f>
        <v/>
      </c>
      <c r="N24" s="30"/>
    </row>
    <row r="25" spans="1:14" ht="19.5" customHeight="1">
      <c r="A25" s="24" t="s">
        <v>66</v>
      </c>
      <c r="B25" s="33" t="str">
        <f>IF(A25="","",IFERROR(VLOOKUP(A25,FLOTA!$A:$M,4,0)&amp;" "&amp;VLOOKUP(A25,FLOTA!$A:$M,3,0),"⚠ Patente no encontrada"))</f>
        <v>SPRINTER 515 CDIC MERCEDES BENZ</v>
      </c>
      <c r="C25" s="26">
        <v>46078</v>
      </c>
      <c r="D25" s="27" t="s">
        <v>159</v>
      </c>
      <c r="E25" s="28" t="s">
        <v>161</v>
      </c>
      <c r="F25" s="28"/>
      <c r="G25" s="31"/>
      <c r="H25" s="31"/>
      <c r="I25" s="34" t="str">
        <f>IF(AND(G25="",H25=""),"",IF(G25="",H25,IF(H25="",G25,H25+G25)))</f>
        <v/>
      </c>
      <c r="J25" s="28"/>
      <c r="K25" s="29"/>
      <c r="L25" s="29"/>
      <c r="M25" s="34" t="str">
        <f>IF(AND(K25="",L25=""),"",IF(L25="",K25,IF(K25="",L25,K25+L25)))</f>
        <v/>
      </c>
      <c r="N25" s="30"/>
    </row>
    <row r="26" spans="1:14" ht="19.5" customHeight="1">
      <c r="A26" s="24" t="s">
        <v>66</v>
      </c>
      <c r="B26" s="33" t="str">
        <f>IF(A26="","",IFERROR(VLOOKUP(A26,FLOTA!$A:$M,4,0)&amp;" "&amp;VLOOKUP(A26,FLOTA!$A:$M,3,0),"⚠ Patente no encontrada"))</f>
        <v>SPRINTER 515 CDIC MERCEDES BENZ</v>
      </c>
      <c r="C26" s="26">
        <v>46078</v>
      </c>
      <c r="D26" s="27" t="s">
        <v>159</v>
      </c>
      <c r="E26" s="28" t="s">
        <v>177</v>
      </c>
      <c r="F26" s="28"/>
      <c r="G26" s="31"/>
      <c r="H26" s="29"/>
      <c r="I26" s="34" t="str">
        <f>IF(AND(G26="",H26=""),"",IF(G26="",H26,IF(H26="",G26,H26+G26)))</f>
        <v/>
      </c>
      <c r="J26" s="28"/>
      <c r="K26" s="29"/>
      <c r="L26" s="29"/>
      <c r="M26" s="34" t="str">
        <f>IF(AND(K26="",L26=""),"",IF(L26="",K26,IF(K26="",L26,K26+L26)))</f>
        <v/>
      </c>
      <c r="N26" s="30"/>
    </row>
    <row r="27" spans="1:14" ht="19.5" customHeight="1">
      <c r="A27" s="24" t="s">
        <v>66</v>
      </c>
      <c r="B27" s="33" t="str">
        <f>IF(A27="","",IFERROR(VLOOKUP(A27,FLOTA!$A:$M,4,0)&amp;" "&amp;VLOOKUP(A27,FLOTA!$A:$M,3,0),"⚠ Patente no encontrada"))</f>
        <v>SPRINTER 515 CDIC MERCEDES BENZ</v>
      </c>
      <c r="C27" s="26">
        <v>46078</v>
      </c>
      <c r="D27" s="27" t="s">
        <v>159</v>
      </c>
      <c r="E27" s="28" t="s">
        <v>172</v>
      </c>
      <c r="F27" s="28"/>
      <c r="G27" s="31"/>
      <c r="H27" s="29"/>
      <c r="I27" s="34" t="str">
        <f>IF(AND(G27="",H27=""),"",IF(G27="",H27,IF(H27="",G27,H27+G27)))</f>
        <v/>
      </c>
      <c r="J27" s="28"/>
      <c r="K27" s="29"/>
      <c r="L27" s="29"/>
      <c r="M27" s="34" t="str">
        <f>IF(AND(K27="",L27=""),"",IF(L27="",K27,IF(K27="",L27,K27+L27)))</f>
        <v/>
      </c>
      <c r="N27" s="30"/>
    </row>
    <row r="28" spans="1:14" ht="19.5" customHeight="1">
      <c r="A28" s="24" t="s">
        <v>66</v>
      </c>
      <c r="B28" s="33" t="str">
        <f>IF(A28="","",IFERROR(VLOOKUP(A28,FLOTA!$A:$M,4,0)&amp;" "&amp;VLOOKUP(A28,FLOTA!$A:$M,3,0),"⚠ Patente no encontrada"))</f>
        <v>SPRINTER 515 CDIC MERCEDES BENZ</v>
      </c>
      <c r="C28" s="26">
        <v>46078</v>
      </c>
      <c r="D28" s="27" t="s">
        <v>159</v>
      </c>
      <c r="E28" s="28" t="s">
        <v>176</v>
      </c>
      <c r="F28" s="28"/>
      <c r="G28" s="31"/>
      <c r="H28" s="29"/>
      <c r="I28" s="34" t="str">
        <f>IF(AND(G28="",H28=""),"",IF(G28="",H28,IF(H28="",G28,H28+G28)))</f>
        <v/>
      </c>
      <c r="J28" s="28"/>
      <c r="K28" s="29"/>
      <c r="L28" s="29"/>
      <c r="M28" s="34" t="str">
        <f>IF(AND(K28="",L28=""),"",IF(L28="",K28,IF(K28="",L28,K28+L28)))</f>
        <v/>
      </c>
      <c r="N28" s="30"/>
    </row>
    <row r="29" spans="1:14" ht="19.5" customHeight="1">
      <c r="A29" s="24" t="s">
        <v>66</v>
      </c>
      <c r="B29" s="33" t="str">
        <f>IF(A29="","",IFERROR(VLOOKUP(A29,FLOTA!$A:$M,4,0)&amp;" "&amp;VLOOKUP(A29,FLOTA!$A:$M,3,0),"⚠ Patente no encontrada"))</f>
        <v>SPRINTER 515 CDIC MERCEDES BENZ</v>
      </c>
      <c r="C29" s="26">
        <v>46078</v>
      </c>
      <c r="D29" s="27" t="s">
        <v>159</v>
      </c>
      <c r="E29" s="28" t="s">
        <v>178</v>
      </c>
      <c r="F29" s="28"/>
      <c r="G29" s="31"/>
      <c r="H29" s="29"/>
      <c r="I29" s="34" t="str">
        <f>IF(AND(G29="",H29=""),"",IF(G29="",H29,IF(H29="",G29,H29+G29)))</f>
        <v/>
      </c>
      <c r="J29" s="28"/>
      <c r="K29" s="29"/>
      <c r="L29" s="29"/>
      <c r="M29" s="34" t="str">
        <f>IF(AND(K29="",L29=""),"",IF(L29="",K29,IF(K29="",L29,K29+L29)))</f>
        <v/>
      </c>
      <c r="N29" s="30"/>
    </row>
    <row r="30" spans="1:14" ht="19.5" customHeight="1">
      <c r="A30" s="24" t="s">
        <v>66</v>
      </c>
      <c r="B30" s="33" t="str">
        <f>IF(A30="","",IFERROR(VLOOKUP(A30,FLOTA!$A:$M,4,0)&amp;" "&amp;VLOOKUP(A30,FLOTA!$A:$M,3,0),"⚠ Patente no encontrada"))</f>
        <v>SPRINTER 515 CDIC MERCEDES BENZ</v>
      </c>
      <c r="C30" s="26">
        <v>46078</v>
      </c>
      <c r="D30" s="27" t="s">
        <v>159</v>
      </c>
      <c r="E30" s="28" t="s">
        <v>179</v>
      </c>
      <c r="F30" s="28"/>
      <c r="G30" s="31"/>
      <c r="H30" s="29"/>
      <c r="I30" s="34" t="str">
        <f>IF(AND(G30="",H30=""),"",IF(G30="",H30,IF(H30="",G30,H30+G30)))</f>
        <v/>
      </c>
      <c r="J30" s="28"/>
      <c r="K30" s="29"/>
      <c r="L30" s="29"/>
      <c r="M30" s="34" t="str">
        <f>IF(AND(K30="",L30=""),"",IF(L30="",K30,IF(K30="",L30,K30+L30)))</f>
        <v/>
      </c>
      <c r="N30" s="30"/>
    </row>
    <row r="31" spans="1:14" ht="19.5" customHeight="1">
      <c r="A31" s="24" t="s">
        <v>66</v>
      </c>
      <c r="B31" s="33" t="str">
        <f>IF(A31="","",IFERROR(VLOOKUP(A31,FLOTA!$A:$M,4,0)&amp;" "&amp;VLOOKUP(A31,FLOTA!$A:$M,3,0),"⚠ Patente no encontrada"))</f>
        <v>SPRINTER 515 CDIC MERCEDES BENZ</v>
      </c>
      <c r="C31" s="26">
        <v>46078</v>
      </c>
      <c r="D31" s="27" t="s">
        <v>159</v>
      </c>
      <c r="E31" s="28" t="s">
        <v>169</v>
      </c>
      <c r="F31" s="28"/>
      <c r="G31" s="31"/>
      <c r="H31" s="29"/>
      <c r="I31" s="34" t="str">
        <f>IF(AND(G31="",H31=""),"",IF(G31="",H31,IF(H31="",G31,H31+G31)))</f>
        <v/>
      </c>
      <c r="J31" s="28"/>
      <c r="K31" s="29"/>
      <c r="L31" s="29"/>
      <c r="M31" s="34" t="str">
        <f>IF(AND(K31="",L31=""),"",IF(L31="",K31,IF(K31="",L31,K31+L31)))</f>
        <v/>
      </c>
      <c r="N31" s="30"/>
    </row>
    <row r="32" spans="1:14" ht="19.5" customHeight="1">
      <c r="A32" s="24" t="s">
        <v>36</v>
      </c>
      <c r="B32" s="33" t="str">
        <f>IF(A32="","",IFERROR(VLOOKUP(A32,FLOTA!$A:$M,4,0)&amp;" "&amp;VLOOKUP(A32,FLOTA!$A:$M,3,0),"⚠ Patente no encontrada"))</f>
        <v>HILUX 4X2 CD SRV 3.0 TOYOTA</v>
      </c>
      <c r="C32" s="26">
        <v>46078</v>
      </c>
      <c r="D32" s="27" t="s">
        <v>159</v>
      </c>
      <c r="E32" s="28" t="s">
        <v>160</v>
      </c>
      <c r="F32" s="28"/>
      <c r="G32" s="31"/>
      <c r="H32" s="29"/>
      <c r="I32" s="34" t="str">
        <f>IF(AND(G32="",H32=""),"",IF(G32="",H32,IF(H32="",G32,H32+G32)))</f>
        <v/>
      </c>
      <c r="J32" s="28"/>
      <c r="K32" s="29"/>
      <c r="L32" s="29"/>
      <c r="M32" s="34" t="str">
        <f>IF(AND(K32="",L32=""),"",IF(L32="",K32,IF(K32="",L32,K32+L32)))</f>
        <v/>
      </c>
      <c r="N32" s="30"/>
    </row>
    <row r="33" spans="1:14" ht="19.5" customHeight="1">
      <c r="A33" s="24" t="s">
        <v>36</v>
      </c>
      <c r="B33" s="33" t="str">
        <f>IF(A33="","",IFERROR(VLOOKUP(A33,FLOTA!$A:$M,4,0)&amp;" "&amp;VLOOKUP(A33,FLOTA!$A:$M,3,0),"⚠ Patente no encontrada"))</f>
        <v>HILUX 4X2 CD SRV 3.0 TOYOTA</v>
      </c>
      <c r="C33" s="26">
        <v>46078</v>
      </c>
      <c r="D33" s="27" t="s">
        <v>159</v>
      </c>
      <c r="E33" s="28" t="s">
        <v>164</v>
      </c>
      <c r="F33" s="28"/>
      <c r="G33" s="31"/>
      <c r="H33" s="29"/>
      <c r="I33" s="34" t="str">
        <f>IF(AND(G33="",H33=""),"",IF(G33="",H33,IF(H33="",G33,H33+G33)))</f>
        <v/>
      </c>
      <c r="J33" s="28"/>
      <c r="K33" s="29"/>
      <c r="L33" s="29"/>
      <c r="M33" s="34" t="str">
        <f>IF(AND(K33="",L33=""),"",IF(L33="",K33,IF(K33="",L33,K33+L33)))</f>
        <v/>
      </c>
      <c r="N33" s="30"/>
    </row>
    <row r="34" spans="1:14" ht="19.5" customHeight="1">
      <c r="A34" s="24" t="s">
        <v>36</v>
      </c>
      <c r="B34" s="33" t="str">
        <f>IF(A34="","",IFERROR(VLOOKUP(A34,FLOTA!$A:$M,4,0)&amp;" "&amp;VLOOKUP(A34,FLOTA!$A:$M,3,0),"⚠ Patente no encontrada"))</f>
        <v>HILUX 4X2 CD SRV 3.0 TOYOTA</v>
      </c>
      <c r="C34" s="26">
        <v>46078</v>
      </c>
      <c r="D34" s="27" t="s">
        <v>159</v>
      </c>
      <c r="E34" s="28" t="s">
        <v>165</v>
      </c>
      <c r="F34" s="28"/>
      <c r="G34" s="31"/>
      <c r="H34" s="29"/>
      <c r="I34" s="34" t="str">
        <f>IF(AND(G34="",H34=""),"",IF(G34="",H34,IF(H34="",G34,H34+G34)))</f>
        <v/>
      </c>
      <c r="J34" s="28"/>
      <c r="K34" s="29"/>
      <c r="L34" s="29"/>
      <c r="M34" s="34" t="str">
        <f>IF(AND(K34="",L34=""),"",IF(L34="",K34,IF(K34="",L34,K34+L34)))</f>
        <v/>
      </c>
      <c r="N34" s="30"/>
    </row>
    <row r="35" spans="1:14" ht="19.5" customHeight="1">
      <c r="A35" s="24" t="s">
        <v>36</v>
      </c>
      <c r="B35" s="33" t="str">
        <f>IF(A35="","",IFERROR(VLOOKUP(A35,FLOTA!$A:$M,4,0)&amp;" "&amp;VLOOKUP(A35,FLOTA!$A:$M,3,0),"⚠ Patente no encontrada"))</f>
        <v>HILUX 4X2 CD SRV 3.0 TOYOTA</v>
      </c>
      <c r="C35" s="26">
        <v>46078</v>
      </c>
      <c r="D35" s="27" t="s">
        <v>159</v>
      </c>
      <c r="E35" s="28" t="s">
        <v>166</v>
      </c>
      <c r="F35" s="28"/>
      <c r="G35" s="31"/>
      <c r="H35" s="29"/>
      <c r="I35" s="34" t="str">
        <f>IF(AND(G35="",H35=""),"",IF(G35="",H35,IF(H35="",G35,H35+G35)))</f>
        <v/>
      </c>
      <c r="J35" s="28"/>
      <c r="K35" s="29"/>
      <c r="L35" s="29"/>
      <c r="M35" s="34" t="str">
        <f>IF(AND(K35="",L35=""),"",IF(L35="",K35,IF(K35="",L35,K35+L35)))</f>
        <v/>
      </c>
      <c r="N35" s="30"/>
    </row>
    <row r="36" spans="1:14" ht="19.5" customHeight="1">
      <c r="A36" s="24" t="s">
        <v>36</v>
      </c>
      <c r="B36" s="33" t="str">
        <f>IF(A36="","",IFERROR(VLOOKUP(A36,FLOTA!$A:$M,4,0)&amp;" "&amp;VLOOKUP(A36,FLOTA!$A:$M,3,0),"⚠ Patente no encontrada"))</f>
        <v>HILUX 4X2 CD SRV 3.0 TOYOTA</v>
      </c>
      <c r="C36" s="26">
        <v>46078</v>
      </c>
      <c r="D36" s="27" t="s">
        <v>159</v>
      </c>
      <c r="E36" s="28" t="s">
        <v>163</v>
      </c>
      <c r="F36" s="28"/>
      <c r="G36" s="31"/>
      <c r="H36" s="29"/>
      <c r="I36" s="34" t="str">
        <f>IF(AND(G36="",H36=""),"",IF(G36="",H36,IF(H36="",G36,H36+G36)))</f>
        <v/>
      </c>
      <c r="J36" s="28"/>
      <c r="K36" s="29"/>
      <c r="L36" s="29"/>
      <c r="M36" s="34" t="str">
        <f>IF(AND(K36="",L36=""),"",IF(L36="",K36,IF(K36="",L36,K36+L36)))</f>
        <v/>
      </c>
      <c r="N36" s="30"/>
    </row>
    <row r="37" spans="1:14" ht="19.5" customHeight="1">
      <c r="A37" s="24" t="s">
        <v>36</v>
      </c>
      <c r="B37" s="33" t="str">
        <f>IF(A37="","",IFERROR(VLOOKUP(A37,FLOTA!$A:$M,4,0)&amp;" "&amp;VLOOKUP(A37,FLOTA!$A:$M,3,0),"⚠ Patente no encontrada"))</f>
        <v>HILUX 4X2 CD SRV 3.0 TOYOTA</v>
      </c>
      <c r="C37" s="26">
        <v>46078</v>
      </c>
      <c r="D37" s="27" t="s">
        <v>159</v>
      </c>
      <c r="E37" s="28" t="s">
        <v>162</v>
      </c>
      <c r="F37" s="28"/>
      <c r="G37" s="31"/>
      <c r="H37" s="29"/>
      <c r="I37" s="34" t="str">
        <f>IF(AND(G37="",H37=""),"",IF(G37="",H37,IF(H37="",G37,H37+G37)))</f>
        <v/>
      </c>
      <c r="J37" s="28"/>
      <c r="K37" s="29"/>
      <c r="L37" s="29"/>
      <c r="M37" s="34" t="str">
        <f>IF(AND(K37="",L37=""),"",IF(L37="",K37,IF(K37="",L37,K37+L37)))</f>
        <v/>
      </c>
      <c r="N37" s="30"/>
    </row>
    <row r="38" spans="1:14" ht="19.5" customHeight="1">
      <c r="A38" s="24" t="s">
        <v>36</v>
      </c>
      <c r="B38" s="33" t="str">
        <f>IF(A38="","",IFERROR(VLOOKUP(A38,FLOTA!$A:$M,4,0)&amp;" "&amp;VLOOKUP(A38,FLOTA!$A:$M,3,0),"⚠ Patente no encontrada"))</f>
        <v>HILUX 4X2 CD SRV 3.0 TOYOTA</v>
      </c>
      <c r="C38" s="26">
        <v>46078</v>
      </c>
      <c r="D38" s="27" t="s">
        <v>159</v>
      </c>
      <c r="E38" s="28" t="s">
        <v>180</v>
      </c>
      <c r="F38" s="28"/>
      <c r="G38" s="29"/>
      <c r="H38" s="29"/>
      <c r="I38" s="34" t="str">
        <f>IF(AND(G38="",H38=""),"",IF(G38="",H38,IF(H38="",G38,H38+G38)))</f>
        <v/>
      </c>
      <c r="J38" s="28"/>
      <c r="K38" s="29"/>
      <c r="L38" s="29"/>
      <c r="M38" s="34" t="str">
        <f>IF(AND(K38="",L38=""),"",IF(L38="",K38,IF(K38="",L38,K38+L38)))</f>
        <v/>
      </c>
      <c r="N38" s="30"/>
    </row>
    <row r="39" spans="1:14" ht="19.5" customHeight="1">
      <c r="A39" s="24" t="s">
        <v>36</v>
      </c>
      <c r="B39" s="33" t="str">
        <f>IF(A39="","",IFERROR(VLOOKUP(A39,FLOTA!$A:$M,4,0)&amp;" "&amp;VLOOKUP(A39,FLOTA!$A:$M,3,0),"⚠ Patente no encontrada"))</f>
        <v>HILUX 4X2 CD SRV 3.0 TOYOTA</v>
      </c>
      <c r="C39" s="26">
        <v>46078</v>
      </c>
      <c r="D39" s="27" t="s">
        <v>159</v>
      </c>
      <c r="E39" s="28" t="s">
        <v>181</v>
      </c>
      <c r="F39" s="28"/>
      <c r="G39" s="29"/>
      <c r="H39" s="29"/>
      <c r="I39" s="34" t="str">
        <f>IF(AND(G39="",H39=""),"",IF(G39="",H39,IF(H39="",G39,H39+G39)))</f>
        <v/>
      </c>
      <c r="J39" s="28"/>
      <c r="K39" s="29"/>
      <c r="L39" s="29"/>
      <c r="M39" s="34" t="str">
        <f>IF(AND(K39="",L39=""),"",IF(L39="",K39,IF(K39="",L39,K39+L39)))</f>
        <v/>
      </c>
      <c r="N39" s="30"/>
    </row>
    <row r="40" spans="1:14" ht="19.5" customHeight="1">
      <c r="A40" s="24" t="s">
        <v>36</v>
      </c>
      <c r="B40" s="33" t="str">
        <f>IF(A40="","",IFERROR(VLOOKUP(A40,FLOTA!$A:$M,4,0)&amp;" "&amp;VLOOKUP(A40,FLOTA!$A:$M,3,0),"⚠ Patente no encontrada"))</f>
        <v>HILUX 4X2 CD SRV 3.0 TOYOTA</v>
      </c>
      <c r="C40" s="26">
        <v>46078</v>
      </c>
      <c r="D40" s="27" t="s">
        <v>159</v>
      </c>
      <c r="E40" s="28" t="s">
        <v>174</v>
      </c>
      <c r="F40" s="28"/>
      <c r="G40" s="29"/>
      <c r="H40" s="29"/>
      <c r="I40" s="34" t="str">
        <f>IF(AND(G40="",H40=""),"",IF(G40="",H40,IF(H40="",G40,H40+G40)))</f>
        <v/>
      </c>
      <c r="J40" s="28"/>
      <c r="K40" s="29"/>
      <c r="L40" s="29"/>
      <c r="M40" s="34" t="str">
        <f>IF(AND(K40="",L40=""),"",IF(L40="",K40,IF(K40="",L40,K40+L40)))</f>
        <v/>
      </c>
      <c r="N40" s="30"/>
    </row>
    <row r="41" spans="1:14" ht="19.5" customHeight="1">
      <c r="A41" s="24" t="s">
        <v>36</v>
      </c>
      <c r="B41" s="33" t="str">
        <f>IF(A41="","",IFERROR(VLOOKUP(A41,FLOTA!$A:$M,4,0)&amp;" "&amp;VLOOKUP(A41,FLOTA!$A:$M,3,0),"⚠ Patente no encontrada"))</f>
        <v>HILUX 4X2 CD SRV 3.0 TOYOTA</v>
      </c>
      <c r="C41" s="26">
        <v>46078</v>
      </c>
      <c r="D41" s="27" t="s">
        <v>159</v>
      </c>
      <c r="E41" s="28" t="s">
        <v>182</v>
      </c>
      <c r="F41" s="28"/>
      <c r="G41" s="29"/>
      <c r="H41" s="29"/>
      <c r="I41" s="34" t="str">
        <f>IF(AND(G41="",H41=""),"",IF(G41="",H41,IF(H41="",G41,H41+G41)))</f>
        <v/>
      </c>
      <c r="J41" s="28"/>
      <c r="K41" s="29"/>
      <c r="L41" s="29"/>
      <c r="M41" s="34" t="str">
        <f>IF(AND(K41="",L41=""),"",IF(L41="",K41,IF(K41="",L41,K41+L41)))</f>
        <v/>
      </c>
      <c r="N41" s="30"/>
    </row>
    <row r="42" spans="1:14" ht="19.5" customHeight="1">
      <c r="A42" s="24" t="s">
        <v>36</v>
      </c>
      <c r="B42" s="33" t="str">
        <f>IF(A42="","",IFERROR(VLOOKUP(A42,FLOTA!$A:$M,4,0)&amp;" "&amp;VLOOKUP(A42,FLOTA!$A:$M,3,0),"⚠ Patente no encontrada"))</f>
        <v>HILUX 4X2 CD SRV 3.0 TOYOTA</v>
      </c>
      <c r="C42" s="26">
        <v>46078</v>
      </c>
      <c r="D42" s="27" t="s">
        <v>159</v>
      </c>
      <c r="E42" s="28" t="s">
        <v>169</v>
      </c>
      <c r="F42" s="28"/>
      <c r="G42" s="29"/>
      <c r="H42" s="29"/>
      <c r="I42" s="34" t="str">
        <f>IF(AND(G42="",H42=""),"",IF(G42="",H42,IF(H42="",G42,H42+G42)))</f>
        <v/>
      </c>
      <c r="J42" s="28"/>
      <c r="K42" s="29"/>
      <c r="L42" s="29"/>
      <c r="M42" s="34"/>
      <c r="N42" s="30"/>
    </row>
    <row r="43" spans="1:14" ht="19.5" customHeight="1">
      <c r="A43" s="24" t="s">
        <v>49</v>
      </c>
      <c r="B43" s="33" t="str">
        <f>IF(A43="","",IFERROR(VLOOKUP(A43,FLOTA!$A:$M,4,0)&amp;" "&amp;VLOOKUP(A43,FLOTA!$A:$M,3,0),"⚠ Patente no encontrada"))</f>
        <v>AMAROK CD 2.0 4X4 180CV VOLKSWAGEN</v>
      </c>
      <c r="C43" s="26">
        <v>46078</v>
      </c>
      <c r="D43" s="27" t="s">
        <v>159</v>
      </c>
      <c r="E43" s="28" t="s">
        <v>183</v>
      </c>
      <c r="F43" s="28"/>
      <c r="G43" s="29"/>
      <c r="H43" s="29"/>
      <c r="I43" s="34" t="str">
        <f>IF(AND(G43="",H43=""),"",IF(G43="",H43,IF(H43="",G43,H43+G43)))</f>
        <v/>
      </c>
      <c r="J43" s="28"/>
      <c r="K43" s="29"/>
      <c r="L43" s="29"/>
      <c r="M43" s="34" t="str">
        <f>IF(AND(K43="",L43=""),"",IF(L43="",K43,IF(K43="",L43,K43+L43)))</f>
        <v/>
      </c>
      <c r="N43" s="30"/>
    </row>
    <row r="44" spans="1:14" ht="19.5" customHeight="1">
      <c r="A44" s="24" t="s">
        <v>49</v>
      </c>
      <c r="B44" s="33" t="str">
        <f>IF(A44="","",IFERROR(VLOOKUP(A44,FLOTA!$A:$M,4,0)&amp;" "&amp;VLOOKUP(A44,FLOTA!$A:$M,3,0),"⚠ Patente no encontrada"))</f>
        <v>AMAROK CD 2.0 4X4 180CV VOLKSWAGEN</v>
      </c>
      <c r="C44" s="26">
        <v>46078</v>
      </c>
      <c r="D44" s="27" t="s">
        <v>159</v>
      </c>
      <c r="E44" s="28" t="s">
        <v>184</v>
      </c>
      <c r="F44" s="28"/>
      <c r="G44" s="29"/>
      <c r="H44" s="29"/>
      <c r="I44" s="34" t="str">
        <f>IF(AND(G44="",H44=""),"",IF(G44="",H44,IF(H44="",G44,H44+G44)))</f>
        <v/>
      </c>
      <c r="J44" s="28"/>
      <c r="K44" s="29"/>
      <c r="L44" s="29"/>
      <c r="M44" s="34" t="str">
        <f>IF(AND(K44="",L44=""),"",IF(L44="",K44,IF(K44="",L44,K44+L44)))</f>
        <v/>
      </c>
      <c r="N44" s="30"/>
    </row>
    <row r="45" spans="1:14" ht="19.5" customHeight="1">
      <c r="A45" s="24" t="s">
        <v>49</v>
      </c>
      <c r="B45" s="33" t="str">
        <f>IF(A45="","",IFERROR(VLOOKUP(A45,FLOTA!$A:$M,4,0)&amp;" "&amp;VLOOKUP(A45,FLOTA!$A:$M,3,0),"⚠ Patente no encontrada"))</f>
        <v>AMAROK CD 2.0 4X4 180CV VOLKSWAGEN</v>
      </c>
      <c r="C45" s="26">
        <v>46078</v>
      </c>
      <c r="D45" s="27" t="s">
        <v>159</v>
      </c>
      <c r="E45" s="28" t="s">
        <v>185</v>
      </c>
      <c r="F45" s="28"/>
      <c r="G45" s="29"/>
      <c r="H45" s="29"/>
      <c r="I45" s="34" t="str">
        <f>IF(AND(G45="",H45=""),"",IF(G45="",H45,IF(H45="",G45,H45+G45)))</f>
        <v/>
      </c>
      <c r="J45" s="28"/>
      <c r="K45" s="29"/>
      <c r="L45" s="29"/>
      <c r="M45" s="34" t="str">
        <f>IF(AND(K45="",L45=""),"",IF(L45="",K45,IF(K45="",L45,K45+L45)))</f>
        <v/>
      </c>
      <c r="N45" s="30"/>
    </row>
    <row r="46" spans="1:14" ht="19.5" customHeight="1">
      <c r="A46" s="24" t="s">
        <v>49</v>
      </c>
      <c r="B46" s="33" t="str">
        <f>IF(A46="","",IFERROR(VLOOKUP(A46,FLOTA!$A:$M,4,0)&amp;" "&amp;VLOOKUP(A46,FLOTA!$A:$M,3,0),"⚠ Patente no encontrada"))</f>
        <v>AMAROK CD 2.0 4X4 180CV VOLKSWAGEN</v>
      </c>
      <c r="C46" s="26">
        <v>46078</v>
      </c>
      <c r="D46" s="27" t="s">
        <v>159</v>
      </c>
      <c r="E46" s="28" t="s">
        <v>160</v>
      </c>
      <c r="F46" s="28"/>
      <c r="G46" s="31"/>
      <c r="H46" s="29"/>
      <c r="I46" s="34" t="str">
        <f>IF(AND(G46="",H46=""),"",IF(G46="",H46,IF(H46="",G46,H46+G46)))</f>
        <v/>
      </c>
      <c r="J46" s="28"/>
      <c r="K46" s="29"/>
      <c r="L46" s="29"/>
      <c r="M46" s="34" t="str">
        <f>IF(AND(K46="",L46=""),"",IF(L46="",K46,IF(K46="",L46,K46+L46)))</f>
        <v/>
      </c>
      <c r="N46" s="30"/>
    </row>
    <row r="47" spans="1:14" ht="19.5" customHeight="1">
      <c r="A47" s="24" t="s">
        <v>49</v>
      </c>
      <c r="B47" s="33" t="str">
        <f>IF(A47="","",IFERROR(VLOOKUP(A47,FLOTA!$A:$M,4,0)&amp;" "&amp;VLOOKUP(A47,FLOTA!$A:$M,3,0),"⚠ Patente no encontrada"))</f>
        <v>AMAROK CD 2.0 4X4 180CV VOLKSWAGEN</v>
      </c>
      <c r="C47" s="26">
        <v>46078</v>
      </c>
      <c r="D47" s="27" t="s">
        <v>159</v>
      </c>
      <c r="E47" s="28" t="s">
        <v>174</v>
      </c>
      <c r="F47" s="28"/>
      <c r="G47" s="31"/>
      <c r="H47" s="29"/>
      <c r="I47" s="34" t="str">
        <f>IF(AND(G47="",H47=""),"",IF(G47="",H47,IF(H47="",G47,H47+G47)))</f>
        <v/>
      </c>
      <c r="J47" s="28"/>
      <c r="K47" s="29"/>
      <c r="L47" s="29"/>
      <c r="M47" s="34" t="str">
        <f>IF(AND(K47="",L47=""),"",IF(L47="",K47,IF(K47="",L47,K47+L47)))</f>
        <v/>
      </c>
      <c r="N47" s="30"/>
    </row>
    <row r="48" spans="1:14" ht="19.5" customHeight="1">
      <c r="A48" s="24" t="s">
        <v>49</v>
      </c>
      <c r="B48" s="33" t="str">
        <f>IF(A48="","",IFERROR(VLOOKUP(A48,FLOTA!$A:$M,4,0)&amp;" "&amp;VLOOKUP(A48,FLOTA!$A:$M,3,0),"⚠ Patente no encontrada"))</f>
        <v>AMAROK CD 2.0 4X4 180CV VOLKSWAGEN</v>
      </c>
      <c r="C48" s="26">
        <v>46078</v>
      </c>
      <c r="D48" s="27" t="s">
        <v>159</v>
      </c>
      <c r="E48" s="28" t="s">
        <v>186</v>
      </c>
      <c r="F48" s="28"/>
      <c r="G48" s="31"/>
      <c r="H48" s="29"/>
      <c r="I48" s="34" t="str">
        <f>IF(AND(G48="",H48=""),"",IF(G48="",H48,IF(H48="",G48,H48+G48)))</f>
        <v/>
      </c>
      <c r="J48" s="28"/>
      <c r="K48" s="29"/>
      <c r="L48" s="29"/>
      <c r="M48" s="34" t="str">
        <f>IF(AND(K48="",L48=""),"",IF(L48="",K48,IF(K48="",L48,K48+L48)))</f>
        <v/>
      </c>
      <c r="N48" s="30"/>
    </row>
    <row r="49" spans="1:14" ht="19.5" customHeight="1">
      <c r="A49" s="24" t="s">
        <v>49</v>
      </c>
      <c r="B49" s="33" t="str">
        <f>IF(A49="","",IFERROR(VLOOKUP(A49,FLOTA!$A:$M,4,0)&amp;" "&amp;VLOOKUP(A49,FLOTA!$A:$M,3,0),"⚠ Patente no encontrada"))</f>
        <v>AMAROK CD 2.0 4X4 180CV VOLKSWAGEN</v>
      </c>
      <c r="C49" s="26">
        <v>46078</v>
      </c>
      <c r="D49" s="27" t="s">
        <v>159</v>
      </c>
      <c r="E49" s="28" t="s">
        <v>169</v>
      </c>
      <c r="F49" s="28"/>
      <c r="G49" s="31"/>
      <c r="H49" s="29"/>
      <c r="I49" s="34" t="str">
        <f>IF(AND(G49="",H49=""),"",IF(G49="",H49,IF(H49="",G49,H49+G49)))</f>
        <v/>
      </c>
      <c r="J49" s="28"/>
      <c r="K49" s="29"/>
      <c r="L49" s="29"/>
      <c r="M49" s="34" t="str">
        <f>IF(AND(K49="",L49=""),"",IF(L49="",K49,IF(K49="",L49,K49+L49)))</f>
        <v/>
      </c>
      <c r="N49" s="30"/>
    </row>
    <row r="50" spans="1:14" ht="19.5" customHeight="1">
      <c r="A50" s="24" t="s">
        <v>43</v>
      </c>
      <c r="B50" s="33" t="str">
        <f>IF(A50="","",IFERROR(VLOOKUP(A50,FLOTA!$A:$M,4,0)&amp;" "&amp;VLOOKUP(A50,FLOTA!$A:$M,3,0),"⚠ Patente no encontrada"))</f>
        <v>AMAROK CS 2.0 140CV VOLKSWAGEN</v>
      </c>
      <c r="C50" s="26">
        <v>46078</v>
      </c>
      <c r="D50" s="27" t="s">
        <v>159</v>
      </c>
      <c r="E50" s="28" t="s">
        <v>160</v>
      </c>
      <c r="F50" s="28"/>
      <c r="G50" s="31"/>
      <c r="H50" s="29"/>
      <c r="I50" s="34" t="str">
        <f>IF(AND(G50="",H50=""),"",IF(G50="",H50,IF(H50="",G50,H50+G50)))</f>
        <v/>
      </c>
      <c r="J50" s="28"/>
      <c r="K50" s="29"/>
      <c r="L50" s="29"/>
      <c r="M50" s="34" t="str">
        <f>IF(AND(K50="",L50=""),"",IF(L50="",K50,IF(K50="",L50,K50+L50)))</f>
        <v/>
      </c>
      <c r="N50" s="30"/>
    </row>
    <row r="51" spans="1:14" ht="19.5" customHeight="1">
      <c r="A51" s="24" t="s">
        <v>43</v>
      </c>
      <c r="B51" s="33" t="str">
        <f>IF(A51="","",IFERROR(VLOOKUP(A51,FLOTA!$A:$M,4,0)&amp;" "&amp;VLOOKUP(A51,FLOTA!$A:$M,3,0),"⚠ Patente no encontrada"))</f>
        <v>AMAROK CS 2.0 140CV VOLKSWAGEN</v>
      </c>
      <c r="C51" s="26">
        <v>46078</v>
      </c>
      <c r="D51" s="27" t="s">
        <v>171</v>
      </c>
      <c r="E51" s="28" t="s">
        <v>187</v>
      </c>
      <c r="F51" s="28"/>
      <c r="G51" s="31"/>
      <c r="H51" s="29"/>
      <c r="I51" s="34" t="str">
        <f>IF(AND(G51="",H51=""),"",IF(G51="",H51,IF(H51="",G51,H51+G51)))</f>
        <v/>
      </c>
      <c r="J51" s="28"/>
      <c r="K51" s="29"/>
      <c r="L51" s="29"/>
      <c r="M51" s="34" t="str">
        <f>IF(AND(K51="",L51=""),"",IF(L51="",K51,IF(K51="",L51,K51+L51)))</f>
        <v/>
      </c>
      <c r="N51" s="30"/>
    </row>
    <row r="52" spans="1:14" ht="19.5" customHeight="1">
      <c r="A52" s="24" t="s">
        <v>43</v>
      </c>
      <c r="B52" s="33" t="str">
        <f>IF(A52="","",IFERROR(VLOOKUP(A52,FLOTA!$A:$M,4,0)&amp;" "&amp;VLOOKUP(A52,FLOTA!$A:$M,3,0),"⚠ Patente no encontrada"))</f>
        <v>AMAROK CS 2.0 140CV VOLKSWAGEN</v>
      </c>
      <c r="C52" s="26">
        <v>46078</v>
      </c>
      <c r="D52" s="27" t="s">
        <v>171</v>
      </c>
      <c r="E52" s="28" t="s">
        <v>188</v>
      </c>
      <c r="F52" s="28"/>
      <c r="G52" s="29"/>
      <c r="H52" s="29"/>
      <c r="I52" s="34" t="str">
        <f>IF(AND(G52="",H52=""),"",IF(G52="",H52,IF(H52="",G52,H52+G52)))</f>
        <v/>
      </c>
      <c r="J52" s="28"/>
      <c r="K52" s="29"/>
      <c r="L52" s="29"/>
      <c r="M52" s="34" t="str">
        <f>IF(AND(K52="",L52=""),"",IF(L52="",K52,IF(K52="",L52,K52+L52)))</f>
        <v/>
      </c>
      <c r="N52" s="30"/>
    </row>
    <row r="53" spans="1:14" ht="19.5" customHeight="1">
      <c r="A53" s="24" t="s">
        <v>43</v>
      </c>
      <c r="B53" s="33" t="str">
        <f>IF(A53="","",IFERROR(VLOOKUP(A53,FLOTA!$A:$M,4,0)&amp;" "&amp;VLOOKUP(A53,FLOTA!$A:$M,3,0),"⚠ Patente no encontrada"))</f>
        <v>AMAROK CS 2.0 140CV VOLKSWAGEN</v>
      </c>
      <c r="C53" s="26">
        <v>46078</v>
      </c>
      <c r="D53" s="27" t="s">
        <v>171</v>
      </c>
      <c r="E53" s="28" t="s">
        <v>172</v>
      </c>
      <c r="F53" s="28"/>
      <c r="G53" s="29"/>
      <c r="H53" s="29"/>
      <c r="I53" s="34" t="str">
        <f>IF(AND(G53="",H53=""),"",IF(G53="",H53,IF(H53="",G53,H53+G53)))</f>
        <v/>
      </c>
      <c r="J53" s="28"/>
      <c r="K53" s="29"/>
      <c r="L53" s="29"/>
      <c r="M53" s="34" t="str">
        <f>IF(AND(K53="",L53=""),"",IF(L53="",K53,IF(K53="",L53,K53+L53)))</f>
        <v/>
      </c>
      <c r="N53" s="30"/>
    </row>
    <row r="54" spans="1:14" ht="19.5" customHeight="1">
      <c r="A54" s="24" t="s">
        <v>43</v>
      </c>
      <c r="B54" s="33" t="str">
        <f>IF(A54="","",IFERROR(VLOOKUP(A54,FLOTA!$A:$M,4,0)&amp;" "&amp;VLOOKUP(A54,FLOTA!$A:$M,3,0),"⚠ Patente no encontrada"))</f>
        <v>AMAROK CS 2.0 140CV VOLKSWAGEN</v>
      </c>
      <c r="C54" s="26">
        <v>46078</v>
      </c>
      <c r="D54" s="27" t="s">
        <v>159</v>
      </c>
      <c r="E54" s="28" t="s">
        <v>169</v>
      </c>
      <c r="F54" s="28"/>
      <c r="G54" s="31"/>
      <c r="H54" s="29"/>
      <c r="I54" s="34" t="str">
        <f>IF(AND(G54="",H54=""),"",IF(G54="",H54,IF(H54="",G54,H54+G54)))</f>
        <v/>
      </c>
      <c r="J54" s="28"/>
      <c r="K54" s="29"/>
      <c r="L54" s="29"/>
      <c r="M54" s="34" t="str">
        <f>IF(AND(K54="",L54=""),"",IF(L54="",K54,IF(K54="",L54,K54+L54)))</f>
        <v/>
      </c>
      <c r="N54" s="30"/>
    </row>
    <row r="55" spans="1:14" ht="19.5" customHeight="1">
      <c r="A55" s="24" t="s">
        <v>53</v>
      </c>
      <c r="B55" s="33" t="str">
        <f>IF(A55="","",IFERROR(VLOOKUP(A55,FLOTA!$A:$M,4,0)&amp;" "&amp;VLOOKUP(A55,FLOTA!$A:$M,3,0),"⚠ Patente no encontrada"))</f>
        <v>AMAROK DC 2.0L TDI 180CV 4X4 VOLKSWAGEN</v>
      </c>
      <c r="C55" s="26">
        <v>46078</v>
      </c>
      <c r="D55" s="27" t="s">
        <v>159</v>
      </c>
      <c r="E55" s="28" t="s">
        <v>160</v>
      </c>
      <c r="F55" s="28" t="s">
        <v>189</v>
      </c>
      <c r="G55" s="31">
        <v>545185</v>
      </c>
      <c r="H55" s="31">
        <v>290000</v>
      </c>
      <c r="I55" s="34">
        <f>IF(AND(G55="",H55=""),"",IF(G55="",H55,IF(H55="",G55,H55+G55)))</f>
        <v>835185</v>
      </c>
      <c r="J55" s="28"/>
      <c r="K55" s="29"/>
      <c r="L55" s="29"/>
      <c r="M55" s="34" t="str">
        <f>IF(AND(K55="",L55=""),"",IF(L55="",K55,IF(K55="",L55,K55+L55)))</f>
        <v/>
      </c>
      <c r="N55" s="30"/>
    </row>
    <row r="56" spans="1:14" ht="19.5" customHeight="1">
      <c r="A56" s="24" t="s">
        <v>53</v>
      </c>
      <c r="B56" s="33" t="str">
        <f>IF(A56="","",IFERROR(VLOOKUP(A56,FLOTA!$A:$M,4,0)&amp;" "&amp;VLOOKUP(A56,FLOTA!$A:$M,3,0),"⚠ Patente no encontrada"))</f>
        <v>AMAROK DC 2.0L TDI 180CV 4X4 VOLKSWAGEN</v>
      </c>
      <c r="C56" s="26">
        <v>46078</v>
      </c>
      <c r="D56" s="27" t="s">
        <v>159</v>
      </c>
      <c r="E56" s="28" t="s">
        <v>161</v>
      </c>
      <c r="F56" s="28" t="s">
        <v>189</v>
      </c>
      <c r="G56" s="31">
        <v>1656371</v>
      </c>
      <c r="H56" s="31">
        <v>290000</v>
      </c>
      <c r="I56" s="34">
        <f>IF(AND(G56="",H56=""),"",IF(G56="",H56,IF(H56="",G56,H56+G56)))</f>
        <v>1946371</v>
      </c>
      <c r="J56" s="28"/>
      <c r="K56" s="29"/>
      <c r="L56" s="29"/>
      <c r="M56" s="34" t="str">
        <f>IF(AND(K56="",L56=""),"",IF(L56="",K56,IF(K56="",L56,K56+L56)))</f>
        <v/>
      </c>
      <c r="N56" s="30"/>
    </row>
    <row r="57" spans="1:14" ht="19.5" customHeight="1">
      <c r="A57" s="24" t="s">
        <v>53</v>
      </c>
      <c r="B57" s="33" t="str">
        <f>IF(A57="","",IFERROR(VLOOKUP(A57,FLOTA!$A:$M,4,0)&amp;" "&amp;VLOOKUP(A57,FLOTA!$A:$M,3,0),"⚠ Patente no encontrada"))</f>
        <v>AMAROK DC 2.0L TDI 180CV 4X4 VOLKSWAGEN</v>
      </c>
      <c r="C57" s="26">
        <v>46078</v>
      </c>
      <c r="D57" s="27" t="s">
        <v>159</v>
      </c>
      <c r="E57" s="28" t="s">
        <v>163</v>
      </c>
      <c r="F57" s="28" t="s">
        <v>189</v>
      </c>
      <c r="G57" s="31">
        <v>331864</v>
      </c>
      <c r="H57" s="31">
        <v>290000</v>
      </c>
      <c r="I57" s="34">
        <f>IF(AND(G57="",H57=""),"",IF(G57="",H57,IF(H57="",G57,H57+G57)))</f>
        <v>621864</v>
      </c>
      <c r="J57" s="28"/>
      <c r="K57" s="29"/>
      <c r="L57" s="29"/>
      <c r="M57" s="34" t="str">
        <f>IF(AND(K57="",L57=""),"",IF(L57="",K57,IF(K57="",L57,K57+L57)))</f>
        <v/>
      </c>
      <c r="N57" s="30"/>
    </row>
    <row r="58" spans="1:14" ht="19.5" customHeight="1">
      <c r="A58" s="24" t="s">
        <v>53</v>
      </c>
      <c r="B58" s="33" t="str">
        <f>IF(A58="","",IFERROR(VLOOKUP(A58,FLOTA!$A:$M,4,0)&amp;" "&amp;VLOOKUP(A58,FLOTA!$A:$M,3,0),"⚠ Patente no encontrada"))</f>
        <v>AMAROK DC 2.0L TDI 180CV 4X4 VOLKSWAGEN</v>
      </c>
      <c r="C58" s="26">
        <v>46078</v>
      </c>
      <c r="D58" s="27" t="s">
        <v>159</v>
      </c>
      <c r="E58" s="28" t="s">
        <v>162</v>
      </c>
      <c r="F58" s="28" t="s">
        <v>189</v>
      </c>
      <c r="G58" s="31">
        <v>331864</v>
      </c>
      <c r="H58" s="31">
        <v>290000</v>
      </c>
      <c r="I58" s="34">
        <f>IF(AND(G58="",H58=""),"",IF(G58="",H58,IF(H58="",G58,H58+G58)))</f>
        <v>621864</v>
      </c>
      <c r="J58" s="28"/>
      <c r="K58" s="29"/>
      <c r="L58" s="29"/>
      <c r="M58" s="34" t="str">
        <f>IF(AND(K58="",L58=""),"",IF(L58="",K58,IF(K58="",L58,K58+L58)))</f>
        <v/>
      </c>
      <c r="N58" s="30"/>
    </row>
    <row r="59" spans="1:14" ht="19.5" customHeight="1">
      <c r="A59" s="24" t="s">
        <v>53</v>
      </c>
      <c r="B59" s="33" t="str">
        <f>IF(A59="","",IFERROR(VLOOKUP(A59,FLOTA!$A:$M,4,0)&amp;" "&amp;VLOOKUP(A59,FLOTA!$A:$M,3,0),"⚠ Patente no encontrada"))</f>
        <v>AMAROK DC 2.0L TDI 180CV 4X4 VOLKSWAGEN</v>
      </c>
      <c r="C59" s="26">
        <v>46078</v>
      </c>
      <c r="D59" s="27" t="s">
        <v>159</v>
      </c>
      <c r="E59" s="28" t="s">
        <v>190</v>
      </c>
      <c r="F59" s="28" t="s">
        <v>189</v>
      </c>
      <c r="G59" s="31">
        <v>52893</v>
      </c>
      <c r="H59" s="31">
        <v>290000</v>
      </c>
      <c r="I59" s="34">
        <f>IF(AND(G59="",H59=""),"",IF(G59="",H59,IF(H59="",G59,H59+G59)))</f>
        <v>342893</v>
      </c>
      <c r="J59" s="28"/>
      <c r="K59" s="29"/>
      <c r="L59" s="29"/>
      <c r="M59" s="34" t="str">
        <f>IF(AND(K59="",L59=""),"",IF(L59="",K59,IF(K59="",L59,K59+L59)))</f>
        <v/>
      </c>
      <c r="N59" s="30"/>
    </row>
    <row r="60" spans="1:14" ht="19.5" customHeight="1">
      <c r="A60" s="24" t="s">
        <v>53</v>
      </c>
      <c r="B60" s="33" t="str">
        <f>IF(A60="","",IFERROR(VLOOKUP(A60,FLOTA!$A:$M,4,0)&amp;" "&amp;VLOOKUP(A60,FLOTA!$A:$M,3,0),"⚠ Patente no encontrada"))</f>
        <v>AMAROK DC 2.0L TDI 180CV 4X4 VOLKSWAGEN</v>
      </c>
      <c r="C60" s="26">
        <v>46078</v>
      </c>
      <c r="D60" s="27" t="s">
        <v>159</v>
      </c>
      <c r="E60" s="28" t="s">
        <v>185</v>
      </c>
      <c r="F60" s="28"/>
      <c r="G60" s="31"/>
      <c r="H60" s="31"/>
      <c r="I60" s="34" t="str">
        <f>IF(AND(G60="",H60=""),"",IF(G60="",H60,IF(H60="",G60,H60+G60)))</f>
        <v/>
      </c>
      <c r="J60" s="28"/>
      <c r="K60" s="29"/>
      <c r="L60" s="29"/>
      <c r="M60" s="34" t="str">
        <f>IF(AND(K60="",L60=""),"",IF(L60="",K60,IF(K60="",L60,K60+L60)))</f>
        <v/>
      </c>
      <c r="N60" s="30"/>
    </row>
    <row r="61" spans="1:14" ht="19.5" customHeight="1">
      <c r="A61" s="24" t="s">
        <v>53</v>
      </c>
      <c r="B61" s="33" t="str">
        <f>IF(A61="","",IFERROR(VLOOKUP(A61,FLOTA!$A:$M,4,0)&amp;" "&amp;VLOOKUP(A61,FLOTA!$A:$M,3,0),"⚠ Patente no encontrada"))</f>
        <v>AMAROK DC 2.0L TDI 180CV 4X4 VOLKSWAGEN</v>
      </c>
      <c r="C61" s="26">
        <v>46078</v>
      </c>
      <c r="D61" s="27" t="s">
        <v>159</v>
      </c>
      <c r="E61" s="28" t="s">
        <v>169</v>
      </c>
      <c r="F61" s="28"/>
      <c r="G61" s="31"/>
      <c r="H61" s="31"/>
      <c r="I61" s="34" t="str">
        <f>IF(AND(G61="",H61=""),"",IF(G61="",H61,IF(H61="",G61,H61+G61)))</f>
        <v/>
      </c>
      <c r="J61" s="28"/>
      <c r="K61" s="29"/>
      <c r="L61" s="29"/>
      <c r="M61" s="34" t="str">
        <f>IF(AND(K61="",L61=""),"",IF(L61="",K61,IF(K61="",L61,K61+L61)))</f>
        <v/>
      </c>
      <c r="N61" s="30"/>
    </row>
    <row r="62" spans="1:14" ht="19.5" customHeight="1">
      <c r="A62" s="24" t="s">
        <v>36</v>
      </c>
      <c r="B62" s="33" t="str">
        <f>IF(A62="","",IFERROR(VLOOKUP(A62,FLOTA!$A:$M,4,0)&amp;" "&amp;VLOOKUP(A62,FLOTA!$A:$M,3,0),"⚠ Patente no encontrada"))</f>
        <v>HILUX 4X2 CD SRV 3.0 TOYOTA</v>
      </c>
      <c r="C62" s="26">
        <v>46080</v>
      </c>
      <c r="D62" s="32" t="s">
        <v>171</v>
      </c>
      <c r="E62" s="28" t="s">
        <v>191</v>
      </c>
      <c r="F62" s="28"/>
      <c r="G62" s="31"/>
      <c r="H62" s="31"/>
      <c r="I62" s="34" t="str">
        <f>IF(AND(G62="",H62=""),"",IF(G62="",H62,IF(H62="",G62,H62+G62)))</f>
        <v/>
      </c>
      <c r="J62" s="28"/>
      <c r="K62" s="29"/>
      <c r="L62" s="29"/>
      <c r="M62" s="34" t="str">
        <f>IF(AND(K62="",L62=""),"",IF(L62="",K62,IF(K62="",L62,K62+L62)))</f>
        <v/>
      </c>
      <c r="N62" s="30"/>
    </row>
    <row r="63" spans="1:14" ht="19.5" customHeight="1">
      <c r="A63" s="24" t="s">
        <v>36</v>
      </c>
      <c r="B63" s="33" t="str">
        <f>IF(A63="","",IFERROR(VLOOKUP(A63,FLOTA!$A:$M,4,0)&amp;" "&amp;VLOOKUP(A63,FLOTA!$A:$M,3,0),"⚠ Patente no encontrada"))</f>
        <v>HILUX 4X2 CD SRV 3.0 TOYOTA</v>
      </c>
      <c r="C63" s="26">
        <v>46080</v>
      </c>
      <c r="D63" s="32" t="s">
        <v>159</v>
      </c>
      <c r="E63" s="28" t="s">
        <v>192</v>
      </c>
      <c r="F63" s="28"/>
      <c r="G63" s="31"/>
      <c r="H63" s="31"/>
      <c r="I63" s="34" t="str">
        <f>IF(AND(G63="",H63=""),"",IF(G63="",H63,IF(H63="",G63,H63+G63)))</f>
        <v/>
      </c>
      <c r="J63" s="28"/>
      <c r="K63" s="29"/>
      <c r="L63" s="29"/>
      <c r="M63" s="34" t="str">
        <f>IF(AND(K63="",L63=""),"",IF(L63="",K63,IF(K63="",L63,K63+L63)))</f>
        <v/>
      </c>
      <c r="N63" s="30"/>
    </row>
    <row r="64" spans="1:14" ht="19.5" customHeight="1">
      <c r="A64" s="24" t="s">
        <v>36</v>
      </c>
      <c r="B64" s="33" t="str">
        <f>IF(A64="","",IFERROR(VLOOKUP(A64,FLOTA!$A:$M,4,0)&amp;" "&amp;VLOOKUP(A64,FLOTA!$A:$M,3,0),"⚠ Patente no encontrada"))</f>
        <v>HILUX 4X2 CD SRV 3.0 TOYOTA</v>
      </c>
      <c r="C64" s="26">
        <v>46080</v>
      </c>
      <c r="D64" s="32" t="s">
        <v>159</v>
      </c>
      <c r="E64" s="28" t="s">
        <v>193</v>
      </c>
      <c r="F64" s="28"/>
      <c r="G64" s="31"/>
      <c r="H64" s="31"/>
      <c r="I64" s="34" t="str">
        <f>IF(AND(G64="",H64=""),"",IF(G64="",H64,IF(H64="",G64,H64+G64)))</f>
        <v/>
      </c>
      <c r="J64" s="28"/>
      <c r="K64" s="29"/>
      <c r="L64" s="29"/>
      <c r="M64" s="34" t="str">
        <f>IF(AND(K64="",L64=""),"",IF(L64="",K64,IF(K64="",L64,K64+L64)))</f>
        <v/>
      </c>
      <c r="N64" s="30"/>
    </row>
    <row r="65" spans="1:14" ht="19.5" customHeight="1">
      <c r="A65" s="24" t="s">
        <v>36</v>
      </c>
      <c r="B65" s="33" t="str">
        <f>IF(A65="","",IFERROR(VLOOKUP(A65,FLOTA!$A:$M,4,0)&amp;" "&amp;VLOOKUP(A65,FLOTA!$A:$M,3,0),"⚠ Patente no encontrada"))</f>
        <v>HILUX 4X2 CD SRV 3.0 TOYOTA</v>
      </c>
      <c r="C65" s="26">
        <v>46080</v>
      </c>
      <c r="D65" s="32" t="s">
        <v>159</v>
      </c>
      <c r="E65" s="28" t="s">
        <v>194</v>
      </c>
      <c r="F65" s="28"/>
      <c r="G65" s="31"/>
      <c r="H65" s="31"/>
      <c r="I65" s="34" t="str">
        <f>IF(AND(G65="",H65=""),"",IF(G65="",H65,IF(H65="",G65,H65+G65)))</f>
        <v/>
      </c>
      <c r="J65" s="28"/>
      <c r="K65" s="29"/>
      <c r="L65" s="29"/>
      <c r="M65" s="34" t="str">
        <f>IF(AND(K65="",L65=""),"",IF(L65="",K65,IF(K65="",L65,K65+L65)))</f>
        <v/>
      </c>
      <c r="N65" s="30"/>
    </row>
    <row r="66" spans="1:14" ht="19.5" customHeight="1">
      <c r="A66" s="24" t="s">
        <v>49</v>
      </c>
      <c r="B66" s="33" t="str">
        <f>IF(A66="","",IFERROR(VLOOKUP(A66,FLOTA!$A:$M,4,0)&amp;" "&amp;VLOOKUP(A66,FLOTA!$A:$M,3,0),"⚠ Patente no encontrada"))</f>
        <v>AMAROK CD 2.0 4X4 180CV VOLKSWAGEN</v>
      </c>
      <c r="C66" s="26">
        <v>46080</v>
      </c>
      <c r="D66" s="32" t="s">
        <v>159</v>
      </c>
      <c r="E66" s="28" t="s">
        <v>176</v>
      </c>
      <c r="F66" s="28"/>
      <c r="G66" s="31"/>
      <c r="H66" s="31"/>
      <c r="I66" s="34" t="str">
        <f>IF(AND(G66="",H66=""),"",IF(G66="",H66,IF(H66="",G66,H66+G66)))</f>
        <v/>
      </c>
      <c r="J66" s="28"/>
      <c r="K66" s="29"/>
      <c r="L66" s="29"/>
      <c r="M66" s="34" t="str">
        <f>IF(AND(K66="",L66=""),"",IF(L66="",K66,IF(K66="",L66,K66+L66)))</f>
        <v/>
      </c>
      <c r="N66" s="30"/>
    </row>
    <row r="67" spans="1:14" ht="19.5" customHeight="1">
      <c r="A67" s="24" t="s">
        <v>43</v>
      </c>
      <c r="B67" s="33" t="str">
        <f>IF(A67="","",IFERROR(VLOOKUP(A67,FLOTA!$A:$M,4,0)&amp;" "&amp;VLOOKUP(A67,FLOTA!$A:$M,3,0),"⚠ Patente no encontrada"))</f>
        <v>AMAROK CS 2.0 140CV VOLKSWAGEN</v>
      </c>
      <c r="C67" s="26">
        <v>46083</v>
      </c>
      <c r="D67" s="32" t="s">
        <v>171</v>
      </c>
      <c r="E67" s="28" t="s">
        <v>195</v>
      </c>
      <c r="F67" s="28" t="s">
        <v>189</v>
      </c>
      <c r="G67" s="31">
        <v>10000</v>
      </c>
      <c r="H67" s="31"/>
      <c r="I67" s="34">
        <f>IF(AND(G67="",H67=""),"",IF(G67="",H67,IF(H67="",G67,H67+G67)))</f>
        <v>10000</v>
      </c>
      <c r="J67" s="28"/>
      <c r="K67" s="29"/>
      <c r="L67" s="29"/>
      <c r="M67" s="34" t="str">
        <f>IF(AND(K67="",L67=""),"",IF(L67="",K67,IF(K67="",L67,K67+L67)))</f>
        <v/>
      </c>
      <c r="N67" s="30"/>
    </row>
    <row r="68" spans="1:14" ht="19.5" customHeight="1">
      <c r="A68" s="24" t="s">
        <v>43</v>
      </c>
      <c r="B68" s="33" t="str">
        <f>IF(A68="","",IFERROR(VLOOKUP(A68,FLOTA!$A:$M,4,0)&amp;" "&amp;VLOOKUP(A68,FLOTA!$A:$M,3,0),"⚠ Patente no encontrada"))</f>
        <v>AMAROK CS 2.0 140CV VOLKSWAGEN</v>
      </c>
      <c r="C68" s="26">
        <v>46083</v>
      </c>
      <c r="D68" s="32" t="s">
        <v>171</v>
      </c>
      <c r="E68" s="28" t="s">
        <v>196</v>
      </c>
      <c r="F68" s="28" t="s">
        <v>189</v>
      </c>
      <c r="G68" s="31">
        <v>370000</v>
      </c>
      <c r="H68" s="31"/>
      <c r="I68" s="34">
        <f>IF(AND(G68="",H68=""),"",IF(G68="",H68,IF(H68="",G68,H68+G68)))</f>
        <v>370000</v>
      </c>
      <c r="J68" s="28"/>
      <c r="K68" s="29"/>
      <c r="L68" s="29"/>
      <c r="M68" s="34" t="str">
        <f>IF(AND(K68="",L68=""),"",IF(L68="",K68,IF(K68="",L68,K68+L68)))</f>
        <v/>
      </c>
      <c r="N68" s="30"/>
    </row>
    <row r="69" spans="1:14" ht="19.5" customHeight="1">
      <c r="A69" s="24" t="s">
        <v>43</v>
      </c>
      <c r="B69" s="33" t="str">
        <f>IF(A69="","",IFERROR(VLOOKUP(A69,FLOTA!$A:$M,4,0)&amp;" "&amp;VLOOKUP(A69,FLOTA!$A:$M,3,0),"⚠ Patente no encontrada"))</f>
        <v>AMAROK CS 2.0 140CV VOLKSWAGEN</v>
      </c>
      <c r="C69" s="26">
        <v>46083</v>
      </c>
      <c r="D69" s="32" t="s">
        <v>159</v>
      </c>
      <c r="E69" s="28" t="s">
        <v>197</v>
      </c>
      <c r="F69" s="28" t="s">
        <v>189</v>
      </c>
      <c r="G69" s="31">
        <v>72300</v>
      </c>
      <c r="H69" s="31"/>
      <c r="I69" s="34">
        <f>IF(AND(G69="",H69=""),"",IF(G69="",H69,IF(H69="",G69,H69+G69)))</f>
        <v>72300</v>
      </c>
      <c r="J69" s="28"/>
      <c r="K69" s="29"/>
      <c r="L69" s="29"/>
      <c r="M69" s="34" t="str">
        <f>IF(AND(K69="",L69=""),"",IF(L69="",K69,IF(K69="",L69,K69+L69)))</f>
        <v/>
      </c>
      <c r="N69" s="30"/>
    </row>
    <row r="70" spans="1:14" ht="19.5" customHeight="1">
      <c r="A70" s="24" t="s">
        <v>43</v>
      </c>
      <c r="B70" s="33" t="str">
        <f>IF(A70="","",IFERROR(VLOOKUP(A70,FLOTA!$A:$M,4,0)&amp;" "&amp;VLOOKUP(A70,FLOTA!$A:$M,3,0),"⚠ Patente no encontrada"))</f>
        <v>AMAROK CS 2.0 140CV VOLKSWAGEN</v>
      </c>
      <c r="C70" s="26">
        <v>46083</v>
      </c>
      <c r="D70" s="32" t="s">
        <v>159</v>
      </c>
      <c r="E70" s="28" t="s">
        <v>198</v>
      </c>
      <c r="F70" s="28" t="s">
        <v>189</v>
      </c>
      <c r="G70" s="31">
        <v>319900</v>
      </c>
      <c r="H70" s="31"/>
      <c r="I70" s="34">
        <f>IF(AND(G70="",H70=""),"",IF(G70="",H70,IF(H70="",G70,H70+G70)))</f>
        <v>319900</v>
      </c>
      <c r="J70" s="28"/>
      <c r="K70" s="29"/>
      <c r="L70" s="29"/>
      <c r="M70" s="34" t="str">
        <f>IF(AND(K70="",L70=""),"",IF(L70="",K70,IF(K70="",L70,K70+L70)))</f>
        <v/>
      </c>
      <c r="N70" s="30"/>
    </row>
    <row r="71" spans="1:14" ht="19.5" customHeight="1">
      <c r="A71" s="24" t="s">
        <v>43</v>
      </c>
      <c r="B71" s="33" t="str">
        <f>IF(A71="","",IFERROR(VLOOKUP(A71,FLOTA!$A:$M,4,0)&amp;" "&amp;VLOOKUP(A71,FLOTA!$A:$M,3,0),"⚠ Patente no encontrada"))</f>
        <v>AMAROK CS 2.0 140CV VOLKSWAGEN</v>
      </c>
      <c r="C71" s="26">
        <v>46083</v>
      </c>
      <c r="D71" s="32" t="s">
        <v>159</v>
      </c>
      <c r="E71" s="28" t="s">
        <v>199</v>
      </c>
      <c r="F71" s="28" t="s">
        <v>189</v>
      </c>
      <c r="G71" s="31">
        <v>259771</v>
      </c>
      <c r="H71" s="31"/>
      <c r="I71" s="34">
        <f>IF(AND(G71="",H71=""),"",IF(G71="",H71,IF(H71="",G71,H71+G71)))</f>
        <v>259771</v>
      </c>
      <c r="J71" s="28"/>
      <c r="K71" s="29"/>
      <c r="L71" s="29"/>
      <c r="M71" s="34" t="str">
        <f>IF(AND(K71="",L71=""),"",IF(L71="",K71,IF(K71="",L71,K71+L71)))</f>
        <v/>
      </c>
      <c r="N71" s="30"/>
    </row>
    <row r="72" spans="1:14" ht="19.5" customHeight="1">
      <c r="A72" s="24" t="s">
        <v>43</v>
      </c>
      <c r="B72" s="33" t="str">
        <f>IF(A72="","",IFERROR(VLOOKUP(A72,FLOTA!$A:$M,4,0)&amp;" "&amp;VLOOKUP(A72,FLOTA!$A:$M,3,0),"⚠ Patente no encontrada"))</f>
        <v>AMAROK CS 2.0 140CV VOLKSWAGEN</v>
      </c>
      <c r="C72" s="26">
        <v>46083</v>
      </c>
      <c r="D72" s="32" t="s">
        <v>159</v>
      </c>
      <c r="E72" s="28" t="s">
        <v>200</v>
      </c>
      <c r="F72" s="28" t="s">
        <v>189</v>
      </c>
      <c r="G72" s="31">
        <v>106000</v>
      </c>
      <c r="H72" s="31"/>
      <c r="I72" s="34">
        <f>IF(AND(G72="",H72=""),"",IF(G72="",H72,IF(H72="",G72,H72+G72)))</f>
        <v>106000</v>
      </c>
      <c r="J72" s="28"/>
      <c r="K72" s="29"/>
      <c r="L72" s="29"/>
      <c r="M72" s="34" t="str">
        <f>IF(AND(K72="",L72=""),"",IF(L72="",K72,IF(K72="",L72,K72+L72)))</f>
        <v/>
      </c>
      <c r="N72" s="30"/>
    </row>
    <row r="73" spans="1:14" ht="20.25" customHeight="1">
      <c r="A73" s="24" t="s">
        <v>43</v>
      </c>
      <c r="B73" s="33" t="str">
        <f>IF(A73="","",IFERROR(VLOOKUP(A73,FLOTA!$A:$M,4,0)&amp;" "&amp;VLOOKUP(A73,FLOTA!$A:$M,3,0),"⚠ Patente no encontrada"))</f>
        <v>AMAROK CS 2.0 140CV VOLKSWAGEN</v>
      </c>
      <c r="C73" s="26">
        <v>46083</v>
      </c>
      <c r="D73" s="32" t="s">
        <v>159</v>
      </c>
      <c r="E73" s="28" t="s">
        <v>201</v>
      </c>
      <c r="F73" s="28" t="s">
        <v>189</v>
      </c>
      <c r="G73" s="31">
        <v>287185</v>
      </c>
      <c r="H73" s="31"/>
      <c r="I73" s="34">
        <f>IF(AND(G73="",H73=""),"",IF(G73="",H73,IF(H73="",G73,H73+G73)))</f>
        <v>287185</v>
      </c>
      <c r="J73" s="28"/>
      <c r="K73" s="29"/>
      <c r="L73" s="29"/>
      <c r="M73" s="34" t="str">
        <f>IF(AND(K73="",L73=""),"",IF(L73="",K73,IF(K73="",L73,K73+L73)))</f>
        <v/>
      </c>
      <c r="N73" s="30"/>
    </row>
    <row r="74" spans="1:14" ht="20.25" customHeight="1">
      <c r="A74" s="24" t="s">
        <v>43</v>
      </c>
      <c r="B74" s="33" t="str">
        <f>IF(A74="","",IFERROR(VLOOKUP(A74,FLOTA!$A:$M,4,0)&amp;" "&amp;VLOOKUP(A74,FLOTA!$A:$M,3,0),"⚠ Patente no encontrada"))</f>
        <v>AMAROK CS 2.0 140CV VOLKSWAGEN</v>
      </c>
      <c r="C74" s="26">
        <v>46083</v>
      </c>
      <c r="D74" s="32" t="s">
        <v>159</v>
      </c>
      <c r="E74" s="28" t="s">
        <v>202</v>
      </c>
      <c r="F74" s="28" t="s">
        <v>189</v>
      </c>
      <c r="G74" s="31">
        <v>258000</v>
      </c>
      <c r="H74" s="31"/>
      <c r="I74" s="34">
        <f>IF(AND(G74="",H74=""),"",IF(G74="",H74,IF(H74="",G74,H74+G74)))</f>
        <v>258000</v>
      </c>
      <c r="J74" s="28"/>
      <c r="K74" s="29"/>
      <c r="L74" s="29"/>
      <c r="M74" s="34" t="str">
        <f>IF(AND(K74="",L74=""),"",IF(L74="",K74,IF(K74="",L74,K74+L74)))</f>
        <v/>
      </c>
      <c r="N74" s="30"/>
    </row>
    <row r="75" spans="1:14" ht="20.25" customHeight="1">
      <c r="A75" s="24" t="s">
        <v>43</v>
      </c>
      <c r="B75" s="33" t="str">
        <f>IF(A75="","",IFERROR(VLOOKUP(A75,FLOTA!$A:$M,4,0)&amp;" "&amp;VLOOKUP(A75,FLOTA!$A:$M,3,0),"⚠ Patente no encontrada"))</f>
        <v>AMAROK CS 2.0 140CV VOLKSWAGEN</v>
      </c>
      <c r="C75" s="26">
        <v>46083</v>
      </c>
      <c r="D75" s="32" t="s">
        <v>171</v>
      </c>
      <c r="E75" s="28" t="s">
        <v>203</v>
      </c>
      <c r="F75" s="28" t="s">
        <v>189</v>
      </c>
      <c r="G75" s="31"/>
      <c r="H75" s="31">
        <v>690000</v>
      </c>
      <c r="I75" s="34">
        <f>IF(AND(G75="",H75=""),"",IF(G75="",H75,IF(H75="",G75,H75+G75)))</f>
        <v>690000</v>
      </c>
      <c r="J75" s="28"/>
      <c r="K75" s="29"/>
      <c r="L75" s="29"/>
      <c r="M75" s="34" t="str">
        <f>IF(AND(K75="",L75=""),"",IF(L75="",K75,IF(K75="",L75,K75+L75)))</f>
        <v/>
      </c>
      <c r="N75" s="30"/>
    </row>
    <row r="76" spans="1:14" ht="20.25" customHeight="1">
      <c r="A76" s="24" t="s">
        <v>70</v>
      </c>
      <c r="B76" s="33" t="str">
        <f>IF(A76="","",IFERROR(VLOOKUP(A76,FLOTA!$A:$M,4,0)&amp;" "&amp;VLOOKUP(A76,FLOTA!$A:$M,3,0),"⚠ Patente no encontrada"))</f>
        <v>TORO FIAT</v>
      </c>
      <c r="C76" s="26">
        <v>46090</v>
      </c>
      <c r="D76" s="32" t="s">
        <v>204</v>
      </c>
      <c r="E76" s="28" t="s">
        <v>205</v>
      </c>
      <c r="F76" s="28" t="s">
        <v>189</v>
      </c>
      <c r="G76" s="31">
        <v>520000</v>
      </c>
      <c r="H76" s="31"/>
      <c r="I76" s="34">
        <f>IF(AND(G76="",H76=""),"",IF(G76="",H76,IF(H76="",G76,H76+G76)))</f>
        <v>520000</v>
      </c>
      <c r="J76" s="28"/>
      <c r="K76" s="29"/>
      <c r="L76" s="29"/>
      <c r="M76" s="34" t="str">
        <f>IF(AND(K76="",L76=""),"",IF(L76="",K76,IF(K76="",L76,K76+L76)))</f>
        <v/>
      </c>
      <c r="N76" s="30"/>
    </row>
    <row r="77" spans="1:14" ht="20.25" customHeight="1">
      <c r="A77" s="24" t="s">
        <v>70</v>
      </c>
      <c r="B77" s="33" t="str">
        <f>IF(A77="","",IFERROR(VLOOKUP(A77,FLOTA!$A:$M,4,0)&amp;" "&amp;VLOOKUP(A77,FLOTA!$A:$M,3,0),"⚠ Patente no encontrada"))</f>
        <v>TORO FIAT</v>
      </c>
      <c r="C77" s="26">
        <v>46090</v>
      </c>
      <c r="D77" s="32" t="s">
        <v>204</v>
      </c>
      <c r="E77" s="28" t="s">
        <v>206</v>
      </c>
      <c r="F77" s="28" t="s">
        <v>189</v>
      </c>
      <c r="G77" s="31">
        <v>218000</v>
      </c>
      <c r="H77" s="31"/>
      <c r="I77" s="34">
        <f>IF(AND(G77="",H77=""),"",IF(G77="",H77,IF(H77="",G77,H77+G77)))</f>
        <v>218000</v>
      </c>
      <c r="J77" s="28"/>
      <c r="K77" s="29"/>
      <c r="L77" s="29"/>
      <c r="M77" s="34" t="str">
        <f>IF(AND(K77="",L77=""),"",IF(L77="",K77,IF(K77="",L77,K77+L77)))</f>
        <v/>
      </c>
      <c r="N77" s="30"/>
    </row>
    <row r="78" spans="1:14" ht="20.25" customHeight="1">
      <c r="A78" s="24" t="s">
        <v>70</v>
      </c>
      <c r="B78" s="33" t="str">
        <f>IF(A78="","",IFERROR(VLOOKUP(A78,FLOTA!$A:$M,4,0)&amp;" "&amp;VLOOKUP(A78,FLOTA!$A:$M,3,0),"⚠ Patente no encontrada"))</f>
        <v>TORO FIAT</v>
      </c>
      <c r="C78" s="26">
        <v>46090</v>
      </c>
      <c r="D78" s="32" t="s">
        <v>159</v>
      </c>
      <c r="E78" s="28" t="s">
        <v>207</v>
      </c>
      <c r="F78" s="28" t="s">
        <v>189</v>
      </c>
      <c r="G78" s="31">
        <v>215000</v>
      </c>
      <c r="H78" s="31"/>
      <c r="I78" s="34">
        <f>IF(AND(G78="",H78=""),"",IF(G78="",H78,IF(H78="",G78,H78+G78)))</f>
        <v>215000</v>
      </c>
      <c r="J78" s="28"/>
      <c r="K78" s="29"/>
      <c r="L78" s="29"/>
      <c r="M78" s="34" t="str">
        <f>IF(AND(K78="",L78=""),"",IF(L78="",K78,IF(K78="",L78,K78+L78)))</f>
        <v/>
      </c>
      <c r="N78" s="30"/>
    </row>
    <row r="79" spans="1:14" ht="20.25" customHeight="1">
      <c r="A79" s="24" t="s">
        <v>70</v>
      </c>
      <c r="B79" s="33" t="str">
        <f>IF(A79="","",IFERROR(VLOOKUP(A79,FLOTA!$A:$M,4,0)&amp;" "&amp;VLOOKUP(A79,FLOTA!$A:$M,3,0),"⚠ Patente no encontrada"))</f>
        <v>TORO FIAT</v>
      </c>
      <c r="C79" s="26">
        <v>46090</v>
      </c>
      <c r="D79" s="32" t="s">
        <v>159</v>
      </c>
      <c r="E79" s="28" t="s">
        <v>202</v>
      </c>
      <c r="F79" s="28" t="s">
        <v>189</v>
      </c>
      <c r="G79" s="31">
        <v>190200</v>
      </c>
      <c r="H79" s="31"/>
      <c r="I79" s="34">
        <f>IF(AND(G79="",H79=""),"",IF(G79="",H79,IF(H79="",G79,H79+G79)))</f>
        <v>190200</v>
      </c>
      <c r="J79" s="28"/>
      <c r="K79" s="29"/>
      <c r="L79" s="29"/>
      <c r="M79" s="34" t="str">
        <f>IF(AND(K79="",L79=""),"",IF(L79="",K79,IF(K79="",L79,K79+L79)))</f>
        <v/>
      </c>
      <c r="N79" s="30"/>
    </row>
    <row r="80" spans="1:14" ht="20.25" customHeight="1">
      <c r="A80" s="24" t="s">
        <v>70</v>
      </c>
      <c r="B80" s="33" t="str">
        <f>IF(A80="","",IFERROR(VLOOKUP(A80,FLOTA!$A:$M,4,0)&amp;" "&amp;VLOOKUP(A80,FLOTA!$A:$M,3,0),"⚠ Patente no encontrada"))</f>
        <v>TORO FIAT</v>
      </c>
      <c r="C80" s="26">
        <v>46090</v>
      </c>
      <c r="D80" s="32" t="s">
        <v>204</v>
      </c>
      <c r="E80" s="28" t="s">
        <v>208</v>
      </c>
      <c r="F80" s="28" t="s">
        <v>189</v>
      </c>
      <c r="G80" s="31">
        <v>689400</v>
      </c>
      <c r="H80" s="31"/>
      <c r="I80" s="34">
        <f>IF(AND(G80="",H80=""),"",IF(G80="",H80,IF(H80="",G80,H80+G80)))</f>
        <v>689400</v>
      </c>
      <c r="J80" s="28"/>
      <c r="K80" s="29"/>
      <c r="L80" s="29"/>
      <c r="M80" s="34" t="str">
        <f>IF(AND(K80="",L80=""),"",IF(L80="",K80,IF(K80="",L80,K80+L80)))</f>
        <v/>
      </c>
      <c r="N80" s="30"/>
    </row>
    <row r="81" spans="1:14" ht="20.25" customHeight="1">
      <c r="A81" s="24" t="s">
        <v>70</v>
      </c>
      <c r="B81" s="33" t="str">
        <f>IF(A81="","",IFERROR(VLOOKUP(A81,FLOTA!$A:$M,4,0)&amp;" "&amp;VLOOKUP(A81,FLOTA!$A:$M,3,0),"⚠ Patente no encontrada"))</f>
        <v>TORO FIAT</v>
      </c>
      <c r="C81" s="26">
        <v>46090</v>
      </c>
      <c r="D81" s="32" t="s">
        <v>171</v>
      </c>
      <c r="E81" s="28" t="s">
        <v>203</v>
      </c>
      <c r="F81" s="28" t="s">
        <v>189</v>
      </c>
      <c r="G81" s="31"/>
      <c r="H81" s="31">
        <v>1380000</v>
      </c>
      <c r="I81" s="34">
        <f>IF(AND(G81="",H81=""),"",IF(G81="",H81,IF(H81="",G81,H81+G81)))</f>
        <v>1380000</v>
      </c>
      <c r="J81" s="28"/>
      <c r="K81" s="29"/>
      <c r="L81" s="29"/>
      <c r="M81" s="34" t="str">
        <f>IF(AND(K81="",L81=""),"",IF(L81="",K81,IF(K81="",L81,K81+L81)))</f>
        <v/>
      </c>
      <c r="N81" s="30"/>
    </row>
    <row r="82" spans="1:14" ht="20.25" customHeight="1">
      <c r="A82" s="53" t="s">
        <v>36</v>
      </c>
      <c r="B82" s="33" t="str">
        <f>IF(A82="","",IFERROR(VLOOKUP(A82,FLOTA!$A:$M,4,0)&amp;" "&amp;VLOOKUP(A82,FLOTA!$A:$M,3,0),"⚠ Patente no encontrada"))</f>
        <v>HILUX 4X2 CD SRV 3.0 TOYOTA</v>
      </c>
      <c r="C82" s="26">
        <v>46097</v>
      </c>
      <c r="D82" s="32" t="s">
        <v>171</v>
      </c>
      <c r="E82" s="28" t="s">
        <v>209</v>
      </c>
      <c r="F82" s="28"/>
      <c r="G82" s="31"/>
      <c r="H82" s="31"/>
      <c r="I82" s="34" t="str">
        <f>IF(AND(G82="",H82=""),"",IF(G82="",H82,IF(H82="",G82,H82+G82)))</f>
        <v/>
      </c>
      <c r="J82" s="28"/>
      <c r="K82" s="29"/>
      <c r="L82" s="29"/>
      <c r="M82" s="34" t="str">
        <f>IF(AND(K82="",L82=""),"",IF(L82="",K82,IF(K82="",L82,K82+L82)))</f>
        <v/>
      </c>
      <c r="N82" s="30"/>
    </row>
    <row r="83" spans="1:14" ht="21" customHeight="1">
      <c r="A83" s="53" t="s">
        <v>36</v>
      </c>
      <c r="B83" s="33" t="str">
        <f>IF(A83="","",IFERROR(VLOOKUP(A83,FLOTA!$A:$M,4,0)&amp;" "&amp;VLOOKUP(A83,FLOTA!$A:$M,3,0),"⚠ Patente no encontrada"))</f>
        <v>HILUX 4X2 CD SRV 3.0 TOYOTA</v>
      </c>
      <c r="C83" s="26">
        <v>46097</v>
      </c>
      <c r="D83" s="32" t="s">
        <v>171</v>
      </c>
      <c r="E83" s="28" t="s">
        <v>210</v>
      </c>
      <c r="F83" s="28"/>
      <c r="G83" s="31"/>
      <c r="H83" s="31"/>
      <c r="I83" s="34" t="str">
        <f>IF(AND(G83="",H83=""),"",IF(G83="",H83,IF(H83="",G83,H83+G83)))</f>
        <v/>
      </c>
      <c r="J83" s="28"/>
      <c r="K83" s="29"/>
      <c r="L83" s="29"/>
      <c r="M83" s="34" t="str">
        <f>IF(AND(K83="",L83=""),"",IF(L83="",K83,IF(K83="",L83,K83+L83)))</f>
        <v/>
      </c>
      <c r="N83" s="30"/>
    </row>
    <row r="84" spans="1:14" ht="21" customHeight="1">
      <c r="A84" s="53" t="s">
        <v>49</v>
      </c>
      <c r="B84" s="33" t="str">
        <f>IF(A84="","",IFERROR(VLOOKUP(A84,FLOTA!$A:$M,4,0)&amp;" "&amp;VLOOKUP(A84,FLOTA!$A:$M,3,0),"⚠ Patente no encontrada"))</f>
        <v>AMAROK CD 2.0 4X4 180CV VOLKSWAGEN</v>
      </c>
      <c r="C84" s="26">
        <v>46097</v>
      </c>
      <c r="D84" s="32" t="s">
        <v>171</v>
      </c>
      <c r="E84" s="28" t="s">
        <v>211</v>
      </c>
      <c r="F84" s="28" t="s">
        <v>212</v>
      </c>
      <c r="G84" s="31"/>
      <c r="H84" s="31"/>
      <c r="I84" s="34" t="str">
        <f>IF(AND(G84="",H84=""),"",IF(G84="",H84,IF(H84="",G84,H84+G84)))</f>
        <v/>
      </c>
      <c r="J84" s="28"/>
      <c r="K84" s="29"/>
      <c r="L84" s="29"/>
      <c r="M84" s="34" t="str">
        <f>IF(AND(K84="",L84=""),"",IF(L84="",K84,IF(K84="",L84,K84+L84)))</f>
        <v/>
      </c>
      <c r="N84" s="30"/>
    </row>
    <row r="85" spans="1:14" ht="21" customHeight="1">
      <c r="A85" s="53"/>
      <c r="B85" s="33"/>
      <c r="C85" s="26"/>
      <c r="D85" s="32"/>
      <c r="E85" s="28"/>
      <c r="F85" s="28"/>
      <c r="G85" s="31"/>
      <c r="H85" s="31"/>
      <c r="I85" s="34" t="str">
        <f>IF(AND(G85="",H85=""),"",IF(G85="",H85,IF(H85="",G85,H85+G85)))</f>
        <v/>
      </c>
      <c r="J85" s="28"/>
      <c r="K85" s="29"/>
      <c r="L85" s="29"/>
      <c r="M85" s="34" t="str">
        <f>IF(AND(K85="",L85=""),"",IF(L85="",K85,IF(K85="",L85,K85+L85)))</f>
        <v/>
      </c>
      <c r="N85" s="30"/>
    </row>
    <row r="86" spans="1:14" ht="21" customHeight="1">
      <c r="A86" s="53"/>
      <c r="B86" s="33"/>
      <c r="C86" s="26"/>
      <c r="D86" s="32"/>
      <c r="E86" s="28"/>
      <c r="F86" s="28"/>
      <c r="G86" s="31"/>
      <c r="H86" s="31"/>
      <c r="I86" s="34" t="str">
        <f>IF(AND(G86="",H86=""),"",IF(G86="",H86,IF(H86="",G86,H86+G86)))</f>
        <v/>
      </c>
      <c r="J86" s="28"/>
      <c r="K86" s="29"/>
      <c r="L86" s="29"/>
      <c r="M86" s="34" t="str">
        <f>IF(AND(K86="",L86=""),"",IF(L86="",K86,IF(K86="",L86,K86+L86)))</f>
        <v/>
      </c>
      <c r="N86" s="30"/>
    </row>
    <row r="87" spans="1:14" ht="21" customHeight="1">
      <c r="A87" s="53"/>
      <c r="B87" s="33"/>
      <c r="C87" s="26"/>
      <c r="D87" s="32"/>
      <c r="E87" s="28"/>
      <c r="F87" s="28"/>
      <c r="G87" s="31"/>
      <c r="H87" s="31"/>
      <c r="I87" s="34" t="str">
        <f>IF(AND(G87="",H87=""),"",IF(G87="",H87,IF(H87="",G87,H87+G87)))</f>
        <v/>
      </c>
      <c r="J87" s="28"/>
      <c r="K87" s="29"/>
      <c r="L87" s="29"/>
      <c r="M87" s="34" t="str">
        <f>IF(AND(K87="",L87=""),"",IF(L87="",K87,IF(K87="",L87,K87+L87)))</f>
        <v/>
      </c>
      <c r="N87" s="30"/>
    </row>
    <row r="88" spans="1:14" ht="21" customHeight="1">
      <c r="A88" s="53"/>
      <c r="B88" s="33"/>
      <c r="C88" s="26"/>
      <c r="D88" s="32"/>
      <c r="E88" s="28"/>
      <c r="F88" s="28"/>
      <c r="G88" s="31"/>
      <c r="H88" s="31"/>
      <c r="I88" s="34" t="str">
        <f>IF(AND(G88="",H88=""),"",IF(G88="",H88,IF(H88="",G88,H88+G88)))</f>
        <v/>
      </c>
      <c r="J88" s="28"/>
      <c r="K88" s="29"/>
      <c r="L88" s="29"/>
      <c r="M88" s="34" t="str">
        <f>IF(AND(K88="",L88=""),"",IF(L88="",K88,IF(K88="",L88,K88+L88)))</f>
        <v/>
      </c>
      <c r="N88" s="30"/>
    </row>
    <row r="89" spans="1:14" ht="21" customHeight="1">
      <c r="A89" s="53"/>
      <c r="B89" s="33"/>
      <c r="C89" s="26"/>
      <c r="D89" s="32"/>
      <c r="E89" s="28"/>
      <c r="F89" s="28"/>
      <c r="G89" s="31"/>
      <c r="H89" s="31"/>
      <c r="I89" s="34" t="str">
        <f>IF(AND(G89="",H89=""),"",IF(G89="",H89,IF(H89="",G89,H89+G89)))</f>
        <v/>
      </c>
      <c r="J89" s="28"/>
      <c r="K89" s="29"/>
      <c r="L89" s="29"/>
      <c r="M89" s="34" t="str">
        <f>IF(AND(K89="",L89=""),"",IF(L89="",K89,IF(K89="",L89,K89+L89)))</f>
        <v/>
      </c>
      <c r="N89" s="30"/>
    </row>
    <row r="90" spans="1:14" ht="21" customHeight="1">
      <c r="A90" s="53"/>
      <c r="B90" s="33"/>
      <c r="C90" s="26"/>
      <c r="D90" s="32"/>
      <c r="E90" s="28"/>
      <c r="F90" s="28"/>
      <c r="G90" s="31"/>
      <c r="H90" s="31"/>
      <c r="I90" s="34" t="str">
        <f>IF(AND(G90="",H90=""),"",IF(G90="",H90,IF(H90="",G90,H90+G90)))</f>
        <v/>
      </c>
      <c r="J90" s="28"/>
      <c r="K90" s="29"/>
      <c r="L90" s="29"/>
      <c r="M90" s="34" t="str">
        <f>IF(AND(K90="",L90=""),"",IF(L90="",K90,IF(K90="",L90,K90+L90)))</f>
        <v/>
      </c>
      <c r="N90" s="30"/>
    </row>
    <row r="91" spans="1:14" ht="21" customHeight="1">
      <c r="A91" s="53"/>
      <c r="B91" s="33"/>
      <c r="C91" s="26"/>
      <c r="D91" s="32"/>
      <c r="E91" s="28"/>
      <c r="F91" s="28"/>
      <c r="G91" s="31"/>
      <c r="H91" s="31"/>
      <c r="I91" s="34" t="str">
        <f>IF(AND(G91="",H91=""),"",IF(G91="",H91,IF(H91="",G91,H91+G91)))</f>
        <v/>
      </c>
      <c r="J91" s="28"/>
      <c r="K91" s="29"/>
      <c r="L91" s="29"/>
      <c r="M91" s="34" t="str">
        <f>IF(AND(K91="",L91=""),"",IF(L91="",K91,IF(K91="",L91,K91+L91)))</f>
        <v/>
      </c>
      <c r="N91" s="30"/>
    </row>
    <row r="92" spans="1:14" ht="21" customHeight="1">
      <c r="A92" s="53"/>
      <c r="B92" s="33"/>
      <c r="C92" s="26"/>
      <c r="D92" s="32"/>
      <c r="E92" s="28"/>
      <c r="F92" s="28"/>
      <c r="G92" s="31"/>
      <c r="H92" s="31"/>
      <c r="I92" s="34" t="str">
        <f>IF(AND(G92="",H92=""),"",IF(G92="",H92,IF(H92="",G92,H92+G92)))</f>
        <v/>
      </c>
      <c r="J92" s="28"/>
      <c r="K92" s="29"/>
      <c r="L92" s="29"/>
      <c r="M92" s="34" t="str">
        <f>IF(AND(K92="",L92=""),"",IF(L92="",K92,IF(K92="",L92,K92+L92)))</f>
        <v/>
      </c>
      <c r="N92" s="30"/>
    </row>
    <row r="93" spans="1:14" ht="21" customHeight="1">
      <c r="A93" s="53"/>
      <c r="B93" s="33"/>
      <c r="C93" s="26"/>
      <c r="D93" s="32"/>
      <c r="E93" s="28"/>
      <c r="F93" s="28"/>
      <c r="G93" s="31"/>
      <c r="H93" s="31"/>
      <c r="I93" s="34" t="str">
        <f>IF(AND(G93="",H93=""),"",IF(G93="",H93,IF(H93="",G93,H93+G93)))</f>
        <v/>
      </c>
      <c r="J93" s="28"/>
      <c r="K93" s="29"/>
      <c r="L93" s="29"/>
      <c r="M93" s="34" t="str">
        <f>IF(AND(K93="",L93=""),"",IF(L93="",K93,IF(K93="",L93,K93+L93)))</f>
        <v/>
      </c>
      <c r="N93" s="30"/>
    </row>
    <row r="94" spans="1:14" ht="21" customHeight="1">
      <c r="A94" s="53"/>
      <c r="B94" s="33"/>
      <c r="C94" s="26"/>
      <c r="D94" s="32"/>
      <c r="E94" s="28"/>
      <c r="F94" s="28"/>
      <c r="G94" s="31"/>
      <c r="H94" s="31"/>
      <c r="I94" s="34" t="str">
        <f>IF(AND(G94="",H94=""),"",IF(G94="",H94,IF(H94="",G94,H94+G94)))</f>
        <v/>
      </c>
      <c r="J94" s="28"/>
      <c r="K94" s="29"/>
      <c r="L94" s="29"/>
      <c r="M94" s="34" t="str">
        <f>IF(AND(K94="",L94=""),"",IF(L94="",K94,IF(K94="",L94,K94+L94)))</f>
        <v/>
      </c>
      <c r="N94" s="30"/>
    </row>
    <row r="95" spans="1:14" ht="21" customHeight="1">
      <c r="A95" s="53"/>
      <c r="B95" s="33"/>
      <c r="C95" s="26"/>
      <c r="D95" s="32"/>
      <c r="E95" s="28"/>
      <c r="F95" s="28"/>
      <c r="G95" s="31"/>
      <c r="H95" s="31"/>
      <c r="I95" s="34" t="str">
        <f>IF(AND(G95="",H95=""),"",IF(G95="",H95,IF(H95="",G95,H95+G95)))</f>
        <v/>
      </c>
      <c r="J95" s="28"/>
      <c r="K95" s="29"/>
      <c r="L95" s="29"/>
      <c r="M95" s="34" t="str">
        <f>IF(AND(K95="",L95=""),"",IF(L95="",K95,IF(K95="",L95,K95+L95)))</f>
        <v/>
      </c>
      <c r="N95" s="30"/>
    </row>
    <row r="96" spans="1:14" ht="21" customHeight="1">
      <c r="A96" s="53"/>
      <c r="B96" s="33"/>
      <c r="C96" s="26"/>
      <c r="D96" s="32"/>
      <c r="E96" s="28"/>
      <c r="F96" s="28"/>
      <c r="G96" s="31"/>
      <c r="H96" s="31"/>
      <c r="I96" s="34" t="str">
        <f>IF(AND(G96="",H96=""),"",IF(G96="",H96,IF(H96="",G96,H96+G96)))</f>
        <v/>
      </c>
      <c r="J96" s="28"/>
      <c r="K96" s="29"/>
      <c r="L96" s="29"/>
      <c r="M96" s="34" t="str">
        <f>IF(AND(K96="",L96=""),"",IF(L96="",K96,IF(K96="",L96,K96+L96)))</f>
        <v/>
      </c>
      <c r="N96" s="30"/>
    </row>
    <row r="97" spans="1:14" ht="21" customHeight="1">
      <c r="A97" s="24"/>
      <c r="B97" s="33" t="str">
        <f>IF(A97="","",IFERROR(VLOOKUP(A97,FLOTA!$A:$M,4,0)&amp;" "&amp;VLOOKUP(A97,FLOTA!$A:$M,3,0),"⚠ Patente no encontrada"))</f>
        <v/>
      </c>
      <c r="C97" s="26"/>
      <c r="D97" s="32"/>
      <c r="E97" s="28"/>
      <c r="F97" s="28"/>
      <c r="G97" s="31"/>
      <c r="H97" s="31"/>
      <c r="I97" s="34" t="str">
        <f>IF(AND(G97="",H97=""),"",IF(G97="",H97,IF(H97="",G97,H97+G97)))</f>
        <v/>
      </c>
      <c r="J97" s="28"/>
      <c r="K97" s="29"/>
      <c r="L97" s="29"/>
      <c r="M97" s="34" t="str">
        <f>IF(AND(K97="",L97=""),"",IF(L97="",K97,IF(K97="",L97,K97+L97)))</f>
        <v/>
      </c>
      <c r="N97" s="30"/>
    </row>
    <row r="98" spans="1:14" ht="21" customHeight="1">
      <c r="A98" s="24"/>
      <c r="B98" s="33" t="str">
        <f>IF(A98="","",IFERROR(VLOOKUP(A98,FLOTA!$A:$M,4,0)&amp;" "&amp;VLOOKUP(A98,FLOTA!$A:$M,3,0),"⚠ Patente no encontrada"))</f>
        <v/>
      </c>
      <c r="C98" s="26"/>
      <c r="D98" s="32"/>
      <c r="E98" s="28"/>
      <c r="F98" s="28"/>
      <c r="G98" s="31"/>
      <c r="H98" s="31"/>
      <c r="I98" s="34" t="str">
        <f>IF(AND(G98="",H98=""),"",IF(G98="",H98,IF(H98="",G98,H98+G98)))</f>
        <v/>
      </c>
      <c r="J98" s="28"/>
      <c r="K98" s="29"/>
      <c r="L98" s="29"/>
      <c r="M98" s="34" t="str">
        <f>IF(AND(K98="",L98=""),"",IF(L98="",K98,IF(K98="",L98,K98+L98)))</f>
        <v/>
      </c>
      <c r="N98" s="30"/>
    </row>
    <row r="99" spans="1:14" ht="21" customHeight="1">
      <c r="A99" s="24"/>
      <c r="B99" s="33" t="str">
        <f>IF(A99="","",IFERROR(VLOOKUP(A99,FLOTA!$A:$M,4,0)&amp;" "&amp;VLOOKUP(A99,FLOTA!$A:$M,3,0),"⚠ Patente no encontrada"))</f>
        <v/>
      </c>
      <c r="C99" s="26"/>
      <c r="D99" s="32"/>
      <c r="E99" s="28"/>
      <c r="F99" s="28"/>
      <c r="G99" s="31"/>
      <c r="H99" s="31"/>
      <c r="I99" s="34" t="str">
        <f>IF(AND(G99="",H99=""),"",IF(G99="",H99,IF(H99="",G99,H99+G99)))</f>
        <v/>
      </c>
      <c r="J99" s="28"/>
      <c r="K99" s="29"/>
      <c r="L99" s="29"/>
      <c r="M99" s="34" t="str">
        <f>IF(AND(K99="",L99=""),"",IF(L99="",K99,IF(K99="",L99,K99+L99)))</f>
        <v/>
      </c>
      <c r="N99" s="30"/>
    </row>
    <row r="100" spans="1:14" ht="21" customHeight="1">
      <c r="A100" s="24"/>
      <c r="B100" s="33" t="str">
        <f>IF(A100="","",IFERROR(VLOOKUP(A100,FLOTA!$A:$M,4,0)&amp;" "&amp;VLOOKUP(A100,FLOTA!$A:$M,3,0),"⚠ Patente no encontrada"))</f>
        <v/>
      </c>
      <c r="C100" s="26"/>
      <c r="D100" s="32"/>
      <c r="E100" s="28"/>
      <c r="F100" s="28"/>
      <c r="G100" s="31"/>
      <c r="H100" s="31"/>
      <c r="I100" s="34" t="str">
        <f>IF(AND(G100="",H100=""),"",IF(G100="",H100,IF(H100="",G100,H100+G100)))</f>
        <v/>
      </c>
      <c r="J100" s="28"/>
      <c r="K100" s="29"/>
      <c r="L100" s="29"/>
      <c r="M100" s="34" t="str">
        <f>IF(AND(K100="",L100=""),"",IF(L100="",K100,IF(K100="",L100,K100+L100)))</f>
        <v/>
      </c>
      <c r="N100" s="30"/>
    </row>
    <row r="101" spans="1:14" ht="21" customHeight="1">
      <c r="A101" s="24"/>
      <c r="B101" s="33" t="str">
        <f>IF(A101="","",IFERROR(VLOOKUP(A101,FLOTA!$A:$M,4,0)&amp;" "&amp;VLOOKUP(A101,FLOTA!$A:$M,3,0),"⚠ Patente no encontrada"))</f>
        <v/>
      </c>
      <c r="C101" s="26"/>
      <c r="D101" s="32"/>
      <c r="E101" s="28"/>
      <c r="F101" s="28"/>
      <c r="G101" s="31"/>
      <c r="H101" s="31"/>
      <c r="I101" s="34" t="str">
        <f>IF(AND(G101="",H101=""),"",IF(G101="",H101,IF(H101="",G101,H101+G101)))</f>
        <v/>
      </c>
      <c r="J101" s="28"/>
      <c r="K101" s="29"/>
      <c r="L101" s="29"/>
      <c r="M101" s="34" t="str">
        <f>IF(AND(K101="",L101=""),"",IF(L101="",K101,IF(K101="",L101,K101+L101)))</f>
        <v/>
      </c>
      <c r="N101" s="30"/>
    </row>
    <row r="102" spans="1:14" ht="21" customHeight="1">
      <c r="A102" s="24"/>
      <c r="B102" s="33" t="str">
        <f>IF(A102="","",IFERROR(VLOOKUP(A102,FLOTA!$A:$M,4,0)&amp;" "&amp;VLOOKUP(A102,FLOTA!$A:$M,3,0),"⚠ Patente no encontrada"))</f>
        <v/>
      </c>
      <c r="C102" s="26"/>
      <c r="D102" s="32"/>
      <c r="E102" s="28"/>
      <c r="F102" s="28"/>
      <c r="G102" s="31"/>
      <c r="H102" s="31"/>
      <c r="I102" s="34" t="str">
        <f>IF(AND(G102="",H102=""),"",IF(G102="",H102,IF(H102="",G102,H102+G102)))</f>
        <v/>
      </c>
      <c r="J102" s="28"/>
      <c r="K102" s="29"/>
      <c r="L102" s="29"/>
      <c r="M102" s="34" t="str">
        <f>IF(AND(K102="",L102=""),"",IF(L102="",K102,IF(K102="",L102,K102+L102)))</f>
        <v/>
      </c>
      <c r="N102" s="30"/>
    </row>
    <row r="103" spans="1:14" ht="21" customHeight="1">
      <c r="A103" s="24"/>
      <c r="B103" s="33" t="str">
        <f>IF(A103="","",IFERROR(VLOOKUP(A103,FLOTA!$A:$M,4,0)&amp;" "&amp;VLOOKUP(A103,FLOTA!$A:$M,3,0),"⚠ Patente no encontrada"))</f>
        <v/>
      </c>
      <c r="C103" s="26"/>
      <c r="D103" s="32"/>
      <c r="E103" s="28"/>
      <c r="F103" s="28"/>
      <c r="G103" s="31"/>
      <c r="H103" s="31"/>
      <c r="I103" s="34" t="str">
        <f>IF(AND(G103="",H103=""),"",IF(G103="",H103,IF(H103="",G103,H103+G103)))</f>
        <v/>
      </c>
      <c r="J103" s="28"/>
      <c r="K103" s="29"/>
      <c r="L103" s="29"/>
      <c r="M103" s="34" t="str">
        <f>IF(AND(K103="",L103=""),"",IF(L103="",K103,IF(K103="",L103,K103+L103)))</f>
        <v/>
      </c>
      <c r="N103" s="30"/>
    </row>
    <row r="104" spans="1:14" ht="21" customHeight="1">
      <c r="A104" s="24"/>
      <c r="B104" s="33" t="str">
        <f>IF(A104="","",IFERROR(VLOOKUP(A104,FLOTA!$A:$M,4,0)&amp;" "&amp;VLOOKUP(A104,FLOTA!$A:$M,3,0),"⚠ Patente no encontrada"))</f>
        <v/>
      </c>
      <c r="C104" s="26"/>
      <c r="D104" s="32"/>
      <c r="E104" s="28"/>
      <c r="F104" s="28"/>
      <c r="G104" s="31"/>
      <c r="H104" s="31"/>
      <c r="I104" s="34" t="str">
        <f>IF(AND(G104="",H104=""),"",IF(G104="",H104,IF(H104="",G104,H104+G104)))</f>
        <v/>
      </c>
      <c r="J104" s="28"/>
      <c r="K104" s="29"/>
      <c r="L104" s="29"/>
      <c r="M104" s="34" t="str">
        <f>IF(AND(K104="",L104=""),"",IF(L104="",K104,IF(K104="",L104,K104+L104)))</f>
        <v/>
      </c>
      <c r="N104" s="30"/>
    </row>
    <row r="105" spans="1:14" ht="21" customHeight="1">
      <c r="A105" s="35" t="s">
        <v>213</v>
      </c>
      <c r="B105" s="20"/>
      <c r="C105" s="20"/>
      <c r="D105" s="20"/>
      <c r="E105" s="20"/>
      <c r="F105" s="20"/>
      <c r="G105" s="21">
        <f>SUMIF(D3:D104,"&lt;&gt;",G3:G104)</f>
        <v>6433933</v>
      </c>
      <c r="H105" s="21">
        <f>SUMIF(D3:D104,"&lt;&gt;",H3:H104)</f>
        <v>3520000</v>
      </c>
      <c r="I105" s="21">
        <f>SUMIF(D3:D104,"&lt;&gt;",I3:I104)</f>
        <v>9953933</v>
      </c>
      <c r="J105" s="22"/>
      <c r="K105" s="21">
        <f>SUMIF(D3:D104,"&lt;&gt;",K3:K104)</f>
        <v>0</v>
      </c>
      <c r="L105" s="21">
        <f>SUMIF(D3:D104,"&lt;&gt;",L3:L104)</f>
        <v>0</v>
      </c>
      <c r="M105" s="21">
        <f>SUMIF(D3:D104,"&lt;&gt;",M3:M104)</f>
        <v>0</v>
      </c>
      <c r="N105" s="23"/>
    </row>
    <row r="106" spans="1:14" ht="21" customHeight="1"/>
  </sheetData>
  <mergeCells count="1">
    <mergeCell ref="A1:N1"/>
  </mergeCells>
  <conditionalFormatting sqref="D3:D104">
    <cfRule type="containsText" dxfId="8" priority="3" operator="containsText" text="PENDIENTE">
      <formula>NOT(ISERROR(SEARCH("PENDIENTE",D3)))</formula>
    </cfRule>
  </conditionalFormatting>
  <conditionalFormatting sqref="D3:D104">
    <cfRule type="containsText" dxfId="7" priority="2" operator="containsText" text="EN PROCESO">
      <formula>NOT(ISERROR(SEARCH("EN PROCESO",D3)))</formula>
    </cfRule>
  </conditionalFormatting>
  <conditionalFormatting sqref="D3:D104">
    <cfRule type="containsText" dxfId="6" priority="1" operator="containsText" text="HECHO">
      <formula>NOT(ISERROR(SEARCH("HECHO",D3)))</formula>
    </cfRule>
  </conditionalFormatting>
  <dataValidations count="3">
    <dataValidation type="list" allowBlank="1" errorTitle="Patente inválida" error="Ingresá una patente válida de la flota" promptTitle="Patente" prompt="Seleccioná la patente del vehículo" sqref="A105:A539" xr:uid="{00000000-0002-0000-0100-000000000000}">
      <formula1>"NZU308,OFB802,GHQ969,AA757OT,AC442VH,MPR852,AA932XX,PKF116,AD755DX"</formula1>
      <formula2>0</formula2>
    </dataValidation>
    <dataValidation type="list" sqref="D3:D539" xr:uid="{00000000-0002-0000-0100-000001000000}">
      <formula1>"PENDIENTE,EN PROCESO,HECHO"</formula1>
      <formula2>0</formula2>
    </dataValidation>
    <dataValidation type="list" allowBlank="1" errorTitle="Patente inválida" error="Ingresá una patente válida de la flota" promptTitle="Patente" prompt="Seleccioná la patente del vehículo" sqref="A3:A104" xr:uid="{192274E6-2ED3-4A15-8D8A-3A717E7B4542}">
      <formula1>"NZU 308;OFB 802;GHQ 969;AA 757 OT;AC 442 VH;MPR 852;AA 932 XX;PKF 116;AD 755 DX"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2895F54236224FA96875CFA3FA27F7" ma:contentTypeVersion="16" ma:contentTypeDescription="Crear nuevo documento." ma:contentTypeScope="" ma:versionID="49751b3ff1aa3716361a757de681dab3">
  <xsd:schema xmlns:xsd="http://www.w3.org/2001/XMLSchema" xmlns:xs="http://www.w3.org/2001/XMLSchema" xmlns:p="http://schemas.microsoft.com/office/2006/metadata/properties" xmlns:ns2="fff9d2a9-c1e2-451f-81f3-a818276adb2e" xmlns:ns3="71f35cac-3a8f-4993-bb7f-1f1dcce26965" targetNamespace="http://schemas.microsoft.com/office/2006/metadata/properties" ma:root="true" ma:fieldsID="f630508f5c308855652b980de09dc68d" ns2:_="" ns3:_="">
    <xsd:import namespace="fff9d2a9-c1e2-451f-81f3-a818276adb2e"/>
    <xsd:import namespace="71f35cac-3a8f-4993-bb7f-1f1dcce269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9d2a9-c1e2-451f-81f3-a818276adb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132f7b7-5ee4-40ac-9dbd-a03f86508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35cac-3a8f-4993-bb7f-1f1dcce269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65c99415-ce06-47f4-91c1-fff867270621}" ma:internalName="TaxCatchAll" ma:showField="CatchAllData" ma:web="71f35cac-3a8f-4993-bb7f-1f1dcce269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f35cac-3a8f-4993-bb7f-1f1dcce26965" xsi:nil="true"/>
    <lcf76f155ced4ddcb4097134ff3c332f xmlns="fff9d2a9-c1e2-451f-81f3-a818276adb2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29A0AC-E6EB-41E1-AE11-4C2128BE4FFA}"/>
</file>

<file path=customXml/itemProps2.xml><?xml version="1.0" encoding="utf-8"?>
<ds:datastoreItem xmlns:ds="http://schemas.openxmlformats.org/officeDocument/2006/customXml" ds:itemID="{615AD6CF-9418-4512-B7D0-FA92EEECDBB8}"/>
</file>

<file path=customXml/itemProps3.xml><?xml version="1.0" encoding="utf-8"?>
<ds:datastoreItem xmlns:ds="http://schemas.openxmlformats.org/officeDocument/2006/customXml" ds:itemID="{C9C9ED4C-DB7B-4A46-B8AA-4CE07932AA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2026-02-24T01:11:20Z</dcterms:created>
  <dcterms:modified xsi:type="dcterms:W3CDTF">2026-03-26T14:17:51Z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0x010100192895F54236224FA96875CFA3FA27F7</vt:lpwstr>
  </property>
  <property fmtid="{D5CDD505-2E9C-101B-9397-08002B2CF9AE}" pid="3" name="MediaServiceImageTags">
    <vt:lpwstr/>
  </property>
</Properties>
</file>